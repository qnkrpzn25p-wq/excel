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ataeva02/Downloads/"/>
    </mc:Choice>
  </mc:AlternateContent>
  <xr:revisionPtr revIDLastSave="0" documentId="13_ncr:1_{52DAE413-8F35-D944-97CE-9ECF5D5351F7}" xr6:coauthVersionLast="47" xr6:coauthVersionMax="47" xr10:uidLastSave="{00000000-0000-0000-0000-000000000000}"/>
  <bookViews>
    <workbookView xWindow="0" yWindow="0" windowWidth="25600" windowHeight="16000" xr2:uid="{F7F17B25-76FF-4B55-8202-5B04B4D52474}"/>
  </bookViews>
  <sheets>
    <sheet name="АВС" sheetId="2" r:id="rId1"/>
  </sheets>
  <definedNames>
    <definedName name="_xlnm._FilterDatabase" localSheetId="0" hidden="1">АВС!$A$1:$E$222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8" i="2" l="1"/>
  <c r="G118" i="2" s="1"/>
  <c r="F128" i="2"/>
  <c r="G128" i="2" s="1"/>
  <c r="F133" i="2"/>
  <c r="G133" i="2" s="1"/>
  <c r="F141" i="2"/>
  <c r="G141" i="2" s="1"/>
  <c r="F132" i="2"/>
  <c r="G132" i="2" s="1"/>
  <c r="F131" i="2"/>
  <c r="G131" i="2" s="1"/>
  <c r="F109" i="2"/>
  <c r="G109" i="2" s="1"/>
  <c r="F111" i="2"/>
  <c r="G111" i="2" s="1"/>
  <c r="F115" i="2"/>
  <c r="G115" i="2" s="1"/>
  <c r="F112" i="2"/>
  <c r="G112" i="2" s="1"/>
  <c r="F126" i="2"/>
  <c r="G126" i="2" s="1"/>
  <c r="F121" i="2"/>
  <c r="G121" i="2" s="1"/>
  <c r="F113" i="2"/>
  <c r="G113" i="2" s="1"/>
  <c r="F120" i="2"/>
  <c r="G120" i="2" s="1"/>
  <c r="F122" i="2"/>
  <c r="G122" i="2" s="1"/>
  <c r="F127" i="2"/>
  <c r="G127" i="2" s="1"/>
  <c r="F125" i="2"/>
  <c r="G125" i="2" s="1"/>
  <c r="F119" i="2"/>
  <c r="G119" i="2" s="1"/>
  <c r="F117" i="2"/>
  <c r="G117" i="2" s="1"/>
  <c r="F123" i="2"/>
  <c r="G123" i="2" s="1"/>
  <c r="F149" i="2"/>
  <c r="G149" i="2" s="1"/>
  <c r="F148" i="2"/>
  <c r="G148" i="2" s="1"/>
  <c r="F108" i="2"/>
  <c r="G108" i="2" s="1"/>
  <c r="F145" i="2"/>
  <c r="G145" i="2" s="1"/>
  <c r="F134" i="2"/>
  <c r="G134" i="2" s="1"/>
  <c r="F147" i="2"/>
  <c r="G147" i="2" s="1"/>
  <c r="F130" i="2"/>
  <c r="G130" i="2" s="1"/>
  <c r="F144" i="2"/>
  <c r="G144" i="2" s="1"/>
  <c r="F143" i="2"/>
  <c r="G143" i="2" s="1"/>
  <c r="F139" i="2"/>
  <c r="G139" i="2" s="1"/>
  <c r="F110" i="2"/>
  <c r="G110" i="2" s="1"/>
  <c r="F146" i="2"/>
  <c r="G146" i="2" s="1"/>
  <c r="F142" i="2"/>
  <c r="G142" i="2" s="1"/>
  <c r="F140" i="2"/>
  <c r="G140" i="2" s="1"/>
  <c r="F129" i="2"/>
  <c r="G129" i="2" s="1"/>
  <c r="F135" i="2"/>
  <c r="G135" i="2" s="1"/>
  <c r="F150" i="2"/>
  <c r="G150" i="2" s="1"/>
  <c r="F151" i="2"/>
  <c r="G151" i="2" s="1"/>
  <c r="F116" i="2"/>
  <c r="G116" i="2" s="1"/>
  <c r="F114" i="2"/>
  <c r="G114" i="2" s="1"/>
  <c r="F136" i="2"/>
  <c r="G136" i="2" s="1"/>
  <c r="F138" i="2"/>
  <c r="G138" i="2" s="1"/>
  <c r="F137" i="2"/>
  <c r="G137" i="2" s="1"/>
  <c r="F153" i="2"/>
  <c r="G153" i="2" s="1"/>
  <c r="F159" i="2"/>
  <c r="G159" i="2" s="1"/>
  <c r="F164" i="2"/>
  <c r="G164" i="2" s="1"/>
  <c r="F157" i="2"/>
  <c r="G157" i="2" s="1"/>
  <c r="F161" i="2"/>
  <c r="G161" i="2" s="1"/>
  <c r="F166" i="2"/>
  <c r="G166" i="2" s="1"/>
  <c r="F165" i="2"/>
  <c r="G165" i="2" s="1"/>
  <c r="F152" i="2"/>
  <c r="G152" i="2" s="1"/>
  <c r="F163" i="2"/>
  <c r="G163" i="2" s="1"/>
  <c r="F154" i="2"/>
  <c r="G154" i="2" s="1"/>
  <c r="F160" i="2"/>
  <c r="G160" i="2" s="1"/>
  <c r="F158" i="2"/>
  <c r="G158" i="2" s="1"/>
  <c r="F162" i="2"/>
  <c r="G162" i="2" s="1"/>
  <c r="F167" i="2"/>
  <c r="G167" i="2" s="1"/>
  <c r="F155" i="2"/>
  <c r="G155" i="2" s="1"/>
  <c r="F156" i="2"/>
  <c r="G156" i="2" s="1"/>
  <c r="F93" i="2"/>
  <c r="G93" i="2" s="1"/>
  <c r="F7" i="2"/>
  <c r="G7" i="2" s="1"/>
  <c r="F12" i="2"/>
  <c r="G12" i="2" s="1"/>
  <c r="F62" i="2"/>
  <c r="G62" i="2" s="1"/>
  <c r="F33" i="2"/>
  <c r="G33" i="2" s="1"/>
  <c r="F30" i="2"/>
  <c r="G30" i="2" s="1"/>
  <c r="F31" i="2"/>
  <c r="G31" i="2" s="1"/>
  <c r="F60" i="2"/>
  <c r="G60" i="2" s="1"/>
  <c r="F82" i="2"/>
  <c r="G82" i="2" s="1"/>
  <c r="F98" i="2"/>
  <c r="G98" i="2" s="1"/>
  <c r="F74" i="2"/>
  <c r="G74" i="2" s="1"/>
  <c r="F43" i="2"/>
  <c r="G43" i="2" s="1"/>
  <c r="F4" i="2"/>
  <c r="G4" i="2" s="1"/>
  <c r="F51" i="2"/>
  <c r="G51" i="2" s="1"/>
  <c r="F89" i="2"/>
  <c r="G89" i="2" s="1"/>
  <c r="F85" i="2"/>
  <c r="G85" i="2" s="1"/>
  <c r="F80" i="2"/>
  <c r="G80" i="2" s="1"/>
  <c r="F101" i="2"/>
  <c r="G101" i="2" s="1"/>
  <c r="F42" i="2"/>
  <c r="G42" i="2" s="1"/>
  <c r="F3" i="2"/>
  <c r="G3" i="2" s="1"/>
  <c r="F55" i="2"/>
  <c r="G55" i="2" s="1"/>
  <c r="F6" i="2"/>
  <c r="G6" i="2" s="1"/>
  <c r="F86" i="2"/>
  <c r="G86" i="2" s="1"/>
  <c r="F44" i="2"/>
  <c r="G44" i="2" s="1"/>
  <c r="F46" i="2"/>
  <c r="G46" i="2" s="1"/>
  <c r="F94" i="2"/>
  <c r="G94" i="2" s="1"/>
  <c r="F27" i="2"/>
  <c r="G27" i="2" s="1"/>
  <c r="F24" i="2"/>
  <c r="G24" i="2" s="1"/>
  <c r="F66" i="2"/>
  <c r="G66" i="2" s="1"/>
  <c r="F95" i="2"/>
  <c r="G95" i="2" s="1"/>
  <c r="F102" i="2"/>
  <c r="G102" i="2" s="1"/>
  <c r="F96" i="2"/>
  <c r="G96" i="2" s="1"/>
  <c r="F107" i="2"/>
  <c r="G107" i="2" s="1"/>
  <c r="F72" i="2"/>
  <c r="G72" i="2" s="1"/>
  <c r="F76" i="2"/>
  <c r="G76" i="2" s="1"/>
  <c r="F53" i="2"/>
  <c r="G53" i="2" s="1"/>
  <c r="F63" i="2"/>
  <c r="G63" i="2" s="1"/>
  <c r="F48" i="2"/>
  <c r="G48" i="2" s="1"/>
  <c r="F38" i="2"/>
  <c r="G38" i="2" s="1"/>
  <c r="F40" i="2"/>
  <c r="G40" i="2" s="1"/>
  <c r="F58" i="2"/>
  <c r="G58" i="2" s="1"/>
  <c r="F11" i="2"/>
  <c r="G11" i="2" s="1"/>
  <c r="F2" i="2"/>
  <c r="G2" i="2" s="1"/>
  <c r="F14" i="2"/>
  <c r="G14" i="2" s="1"/>
  <c r="F28" i="2"/>
  <c r="G28" i="2" s="1"/>
  <c r="F9" i="2"/>
  <c r="G9" i="2" s="1"/>
  <c r="F37" i="2"/>
  <c r="G37" i="2" s="1"/>
  <c r="F81" i="2"/>
  <c r="G81" i="2" s="1"/>
  <c r="F87" i="2"/>
  <c r="G87" i="2" s="1"/>
  <c r="F65" i="2"/>
  <c r="G65" i="2" s="1"/>
  <c r="F50" i="2"/>
  <c r="G50" i="2" s="1"/>
  <c r="F84" i="2"/>
  <c r="G84" i="2" s="1"/>
  <c r="F25" i="2"/>
  <c r="G25" i="2" s="1"/>
  <c r="F23" i="2"/>
  <c r="G23" i="2" s="1"/>
  <c r="F32" i="2"/>
  <c r="G32" i="2" s="1"/>
  <c r="F61" i="2"/>
  <c r="G61" i="2" s="1"/>
  <c r="F56" i="2"/>
  <c r="G56" i="2" s="1"/>
  <c r="F67" i="2"/>
  <c r="G67" i="2" s="1"/>
  <c r="F57" i="2"/>
  <c r="G57" i="2" s="1"/>
  <c r="F68" i="2"/>
  <c r="G68" i="2" s="1"/>
  <c r="F5" i="2"/>
  <c r="G5" i="2" s="1"/>
  <c r="F69" i="2"/>
  <c r="G69" i="2" s="1"/>
  <c r="F70" i="2"/>
  <c r="G70" i="2" s="1"/>
  <c r="F17" i="2"/>
  <c r="G17" i="2" s="1"/>
  <c r="F15" i="2"/>
  <c r="G15" i="2" s="1"/>
  <c r="F59" i="2"/>
  <c r="G59" i="2" s="1"/>
  <c r="F36" i="2"/>
  <c r="G36" i="2" s="1"/>
  <c r="F10" i="2"/>
  <c r="G10" i="2" s="1"/>
  <c r="F52" i="2"/>
  <c r="G52" i="2" s="1"/>
  <c r="F97" i="2"/>
  <c r="G97" i="2" s="1"/>
  <c r="F99" i="2"/>
  <c r="G99" i="2" s="1"/>
  <c r="F39" i="2"/>
  <c r="G39" i="2" s="1"/>
  <c r="F79" i="2"/>
  <c r="G79" i="2" s="1"/>
  <c r="F100" i="2"/>
  <c r="G100" i="2" s="1"/>
  <c r="F104" i="2"/>
  <c r="G104" i="2" s="1"/>
  <c r="F71" i="2"/>
  <c r="G71" i="2" s="1"/>
  <c r="F47" i="2"/>
  <c r="G47" i="2" s="1"/>
  <c r="F75" i="2"/>
  <c r="G75" i="2" s="1"/>
  <c r="F103" i="2"/>
  <c r="G103" i="2" s="1"/>
  <c r="F91" i="2"/>
  <c r="G91" i="2" s="1"/>
  <c r="F105" i="2"/>
  <c r="G105" i="2" s="1"/>
  <c r="F90" i="2"/>
  <c r="G90" i="2" s="1"/>
  <c r="F78" i="2"/>
  <c r="G78" i="2" s="1"/>
  <c r="F45" i="2"/>
  <c r="G45" i="2" s="1"/>
  <c r="F106" i="2"/>
  <c r="G106" i="2" s="1"/>
  <c r="F77" i="2"/>
  <c r="G77" i="2" s="1"/>
  <c r="F92" i="2"/>
  <c r="G92" i="2" s="1"/>
  <c r="F41" i="2"/>
  <c r="G41" i="2" s="1"/>
  <c r="F73" i="2"/>
  <c r="G73" i="2" s="1"/>
  <c r="F19" i="2"/>
  <c r="G19" i="2" s="1"/>
  <c r="F20" i="2"/>
  <c r="G20" i="2" s="1"/>
  <c r="F35" i="2"/>
  <c r="G35" i="2" s="1"/>
  <c r="F29" i="2"/>
  <c r="G29" i="2" s="1"/>
  <c r="F64" i="2"/>
  <c r="G64" i="2" s="1"/>
  <c r="F88" i="2"/>
  <c r="G88" i="2" s="1"/>
  <c r="F18" i="2"/>
  <c r="G18" i="2" s="1"/>
  <c r="F83" i="2"/>
  <c r="G83" i="2" s="1"/>
  <c r="F54" i="2"/>
  <c r="G54" i="2" s="1"/>
  <c r="F21" i="2"/>
  <c r="G21" i="2" s="1"/>
  <c r="F13" i="2"/>
  <c r="G13" i="2" s="1"/>
  <c r="F34" i="2"/>
  <c r="G34" i="2" s="1"/>
  <c r="F16" i="2"/>
  <c r="G16" i="2" s="1"/>
  <c r="F26" i="2"/>
  <c r="G26" i="2" s="1"/>
  <c r="F22" i="2"/>
  <c r="G22" i="2" s="1"/>
  <c r="F8" i="2"/>
  <c r="G8" i="2" s="1"/>
  <c r="F49" i="2"/>
  <c r="G49" i="2" s="1"/>
  <c r="F217" i="2"/>
  <c r="G217" i="2" s="1"/>
  <c r="F203" i="2"/>
  <c r="G203" i="2" s="1"/>
  <c r="F191" i="2"/>
  <c r="G191" i="2" s="1"/>
  <c r="F212" i="2"/>
  <c r="G212" i="2" s="1"/>
  <c r="F215" i="2"/>
  <c r="G215" i="2" s="1"/>
  <c r="F220" i="2"/>
  <c r="G220" i="2" s="1"/>
  <c r="F210" i="2"/>
  <c r="G210" i="2" s="1"/>
  <c r="F219" i="2"/>
  <c r="G219" i="2" s="1"/>
  <c r="F181" i="2"/>
  <c r="G181" i="2" s="1"/>
  <c r="F184" i="2"/>
  <c r="G184" i="2" s="1"/>
  <c r="F170" i="2"/>
  <c r="G170" i="2" s="1"/>
  <c r="F196" i="2"/>
  <c r="G196" i="2" s="1"/>
  <c r="F193" i="2"/>
  <c r="G193" i="2" s="1"/>
  <c r="F176" i="2"/>
  <c r="G176" i="2" s="1"/>
  <c r="F187" i="2"/>
  <c r="G187" i="2" s="1"/>
  <c r="F205" i="2"/>
  <c r="G205" i="2" s="1"/>
  <c r="F211" i="2"/>
  <c r="G211" i="2" s="1"/>
  <c r="F185" i="2"/>
  <c r="G185" i="2" s="1"/>
  <c r="F180" i="2"/>
  <c r="G180" i="2" s="1"/>
  <c r="F169" i="2"/>
  <c r="G169" i="2" s="1"/>
  <c r="F207" i="2"/>
  <c r="G207" i="2" s="1"/>
  <c r="F172" i="2"/>
  <c r="G172" i="2" s="1"/>
  <c r="I172" i="2" s="1"/>
  <c r="F168" i="2"/>
  <c r="G168" i="2" s="1"/>
  <c r="F173" i="2"/>
  <c r="G173" i="2" s="1"/>
  <c r="F171" i="2"/>
  <c r="G171" i="2" s="1"/>
  <c r="F208" i="2"/>
  <c r="G208" i="2" s="1"/>
  <c r="F209" i="2"/>
  <c r="G209" i="2" s="1"/>
  <c r="F213" i="2"/>
  <c r="G213" i="2" s="1"/>
  <c r="F179" i="2"/>
  <c r="G179" i="2" s="1"/>
  <c r="F189" i="2"/>
  <c r="G189" i="2" s="1"/>
  <c r="I189" i="2" s="1"/>
  <c r="F201" i="2"/>
  <c r="G201" i="2" s="1"/>
  <c r="F178" i="2"/>
  <c r="G178" i="2" s="1"/>
  <c r="F183" i="2"/>
  <c r="G183" i="2" s="1"/>
  <c r="F200" i="2"/>
  <c r="G200" i="2" s="1"/>
  <c r="F188" i="2"/>
  <c r="G188" i="2" s="1"/>
  <c r="F177" i="2"/>
  <c r="G177" i="2" s="1"/>
  <c r="F182" i="2"/>
  <c r="G182" i="2" s="1"/>
  <c r="F186" i="2"/>
  <c r="G186" i="2" s="1"/>
  <c r="I186" i="2" s="1"/>
  <c r="F206" i="2"/>
  <c r="G206" i="2" s="1"/>
  <c r="F194" i="2"/>
  <c r="G194" i="2" s="1"/>
  <c r="F197" i="2"/>
  <c r="G197" i="2" s="1"/>
  <c r="F202" i="2"/>
  <c r="G202" i="2" s="1"/>
  <c r="F199" i="2"/>
  <c r="G199" i="2" s="1"/>
  <c r="F190" i="2"/>
  <c r="G190" i="2" s="1"/>
  <c r="F198" i="2"/>
  <c r="G198" i="2" s="1"/>
  <c r="F192" i="2"/>
  <c r="G192" i="2" s="1"/>
  <c r="I192" i="2" s="1"/>
  <c r="F174" i="2"/>
  <c r="G174" i="2" s="1"/>
  <c r="F175" i="2"/>
  <c r="G175" i="2" s="1"/>
  <c r="F221" i="2"/>
  <c r="G221" i="2" s="1"/>
  <c r="F214" i="2"/>
  <c r="G214" i="2" s="1"/>
  <c r="F216" i="2"/>
  <c r="G216" i="2" s="1"/>
  <c r="F218" i="2"/>
  <c r="G218" i="2" s="1"/>
  <c r="F204" i="2"/>
  <c r="G204" i="2" s="1"/>
  <c r="F195" i="2"/>
  <c r="G195" i="2" s="1"/>
  <c r="I195" i="2" s="1"/>
  <c r="F222" i="2"/>
  <c r="G222" i="2" s="1"/>
  <c r="F124" i="2"/>
  <c r="G124" i="2" s="1"/>
  <c r="I176" i="2" l="1"/>
  <c r="I220" i="2"/>
  <c r="I197" i="2"/>
  <c r="I21" i="2"/>
  <c r="I34" i="2"/>
  <c r="I110" i="2"/>
  <c r="I49" i="2"/>
  <c r="I54" i="2"/>
  <c r="I221" i="2"/>
  <c r="I183" i="2"/>
  <c r="I191" i="2"/>
  <c r="I30" i="2"/>
  <c r="I22" i="2"/>
  <c r="I91" i="2"/>
  <c r="I61" i="2"/>
  <c r="I96" i="2"/>
  <c r="I85" i="2"/>
  <c r="I129" i="2"/>
  <c r="I18" i="2"/>
  <c r="I39" i="2"/>
  <c r="I81" i="2"/>
  <c r="I44" i="2"/>
  <c r="I156" i="2"/>
  <c r="I155" i="2"/>
  <c r="I41" i="2"/>
  <c r="I17" i="2"/>
  <c r="I40" i="2"/>
  <c r="I60" i="2"/>
  <c r="I152" i="2"/>
  <c r="I137" i="2"/>
  <c r="I130" i="2"/>
  <c r="I171" i="2"/>
  <c r="I175" i="2"/>
  <c r="I205" i="2"/>
  <c r="I182" i="2"/>
  <c r="I193" i="2"/>
  <c r="I88" i="2"/>
  <c r="I99" i="2"/>
  <c r="I37" i="2"/>
  <c r="I86" i="2"/>
  <c r="I218" i="2"/>
  <c r="I177" i="2"/>
  <c r="I75" i="2"/>
  <c r="I63" i="2"/>
  <c r="I51" i="2"/>
  <c r="I20" i="2"/>
  <c r="I78" i="2"/>
  <c r="I104" i="2"/>
  <c r="I36" i="2"/>
  <c r="I57" i="2"/>
  <c r="I50" i="2"/>
  <c r="H30" i="2"/>
  <c r="I2" i="2"/>
  <c r="I76" i="2"/>
  <c r="I27" i="2"/>
  <c r="I42" i="2"/>
  <c r="I74" i="2"/>
  <c r="I12" i="2"/>
  <c r="I160" i="2"/>
  <c r="I164" i="2"/>
  <c r="I151" i="2"/>
  <c r="I139" i="2"/>
  <c r="I148" i="2"/>
  <c r="I120" i="2"/>
  <c r="I131" i="2"/>
  <c r="I216" i="2"/>
  <c r="I188" i="2"/>
  <c r="I196" i="2"/>
  <c r="I47" i="2"/>
  <c r="I23" i="2"/>
  <c r="I90" i="2"/>
  <c r="I100" i="2"/>
  <c r="I59" i="2"/>
  <c r="I67" i="2"/>
  <c r="I65" i="2"/>
  <c r="I11" i="2"/>
  <c r="I72" i="2"/>
  <c r="I94" i="2"/>
  <c r="I101" i="2"/>
  <c r="I98" i="2"/>
  <c r="I7" i="2"/>
  <c r="I154" i="2"/>
  <c r="I159" i="2"/>
  <c r="I150" i="2"/>
  <c r="I143" i="2"/>
  <c r="I149" i="2"/>
  <c r="I113" i="2"/>
  <c r="I132" i="2"/>
  <c r="I214" i="2"/>
  <c r="I170" i="2"/>
  <c r="I64" i="2"/>
  <c r="I25" i="2"/>
  <c r="I95" i="2"/>
  <c r="I178" i="2"/>
  <c r="I219" i="2"/>
  <c r="I19" i="2"/>
  <c r="I174" i="2"/>
  <c r="I201" i="2"/>
  <c r="I210" i="2"/>
  <c r="I8" i="2"/>
  <c r="I73" i="2"/>
  <c r="I79" i="2"/>
  <c r="I56" i="2"/>
  <c r="I87" i="2"/>
  <c r="I58" i="2"/>
  <c r="I107" i="2"/>
  <c r="I46" i="2"/>
  <c r="I80" i="2"/>
  <c r="I82" i="2"/>
  <c r="I93" i="2"/>
  <c r="I43" i="2"/>
  <c r="I14" i="2"/>
  <c r="I71" i="2"/>
  <c r="I13" i="2"/>
  <c r="I62" i="2"/>
  <c r="I53" i="2"/>
  <c r="I10" i="2"/>
  <c r="I3" i="2"/>
  <c r="I84" i="2"/>
  <c r="I35" i="2"/>
  <c r="I24" i="2"/>
  <c r="I68" i="2"/>
  <c r="I45" i="2"/>
  <c r="I33" i="2"/>
  <c r="I4" i="2"/>
  <c r="I163" i="2"/>
  <c r="H156" i="2"/>
  <c r="I153" i="2"/>
  <c r="I158" i="2"/>
  <c r="I157" i="2"/>
  <c r="I161" i="2"/>
  <c r="I162" i="2"/>
  <c r="I166" i="2"/>
  <c r="I167" i="2"/>
  <c r="I135" i="2"/>
  <c r="I144" i="2"/>
  <c r="I123" i="2"/>
  <c r="I121" i="2"/>
  <c r="I141" i="2"/>
  <c r="I213" i="2"/>
  <c r="I29" i="2"/>
  <c r="I97" i="2"/>
  <c r="I66" i="2"/>
  <c r="I222" i="2"/>
  <c r="I206" i="2"/>
  <c r="I168" i="2"/>
  <c r="I187" i="2"/>
  <c r="I83" i="2"/>
  <c r="I105" i="2"/>
  <c r="I15" i="2"/>
  <c r="I117" i="2"/>
  <c r="I126" i="2"/>
  <c r="I133" i="2"/>
  <c r="I190" i="2"/>
  <c r="I209" i="2"/>
  <c r="I212" i="2"/>
  <c r="I52" i="2"/>
  <c r="I9" i="2"/>
  <c r="I211" i="2"/>
  <c r="I194" i="2"/>
  <c r="I204" i="2"/>
  <c r="I179" i="2"/>
  <c r="I215" i="2"/>
  <c r="I92" i="2"/>
  <c r="I70" i="2"/>
  <c r="I38" i="2"/>
  <c r="I89" i="2"/>
  <c r="I199" i="2"/>
  <c r="I77" i="2"/>
  <c r="I28" i="2"/>
  <c r="I6" i="2"/>
  <c r="I181" i="2"/>
  <c r="H172" i="2"/>
  <c r="I208" i="2"/>
  <c r="I203" i="2"/>
  <c r="I200" i="2"/>
  <c r="I217" i="2"/>
  <c r="I185" i="2"/>
  <c r="I184" i="2"/>
  <c r="I173" i="2"/>
  <c r="I198" i="2"/>
  <c r="I207" i="2"/>
  <c r="I26" i="2"/>
  <c r="I103" i="2"/>
  <c r="I32" i="2"/>
  <c r="I102" i="2"/>
  <c r="I31" i="2"/>
  <c r="I202" i="2"/>
  <c r="I169" i="2"/>
  <c r="I106" i="2"/>
  <c r="I69" i="2"/>
  <c r="I55" i="2"/>
  <c r="I165" i="2"/>
  <c r="J165" i="2" s="1"/>
  <c r="I138" i="2"/>
  <c r="I140" i="2"/>
  <c r="I147" i="2"/>
  <c r="I119" i="2"/>
  <c r="I112" i="2"/>
  <c r="I128" i="2"/>
  <c r="I180" i="2"/>
  <c r="J180" i="2" s="1"/>
  <c r="I16" i="2"/>
  <c r="I5" i="2"/>
  <c r="I48" i="2"/>
  <c r="J48" i="2" s="1"/>
  <c r="I136" i="2"/>
  <c r="I142" i="2"/>
  <c r="I134" i="2"/>
  <c r="I125" i="2"/>
  <c r="I115" i="2"/>
  <c r="I118" i="2"/>
  <c r="I114" i="2"/>
  <c r="I146" i="2"/>
  <c r="I145" i="2"/>
  <c r="I127" i="2"/>
  <c r="I111" i="2"/>
  <c r="I109" i="2"/>
  <c r="I122" i="2"/>
  <c r="I108" i="2"/>
  <c r="I124" i="2"/>
  <c r="I116" i="2"/>
  <c r="J116" i="2" s="1"/>
  <c r="K116" i="2" s="1"/>
  <c r="L116" i="2" s="1"/>
  <c r="H118" i="2"/>
  <c r="H130" i="2"/>
  <c r="H195" i="2"/>
  <c r="H186" i="2"/>
  <c r="H192" i="2"/>
  <c r="H189" i="2"/>
  <c r="H198" i="2"/>
  <c r="H212" i="2"/>
  <c r="H166" i="2"/>
  <c r="H152" i="2"/>
  <c r="H129" i="2"/>
  <c r="H60" i="2"/>
  <c r="H44" i="2"/>
  <c r="H96" i="2"/>
  <c r="H81" i="2"/>
  <c r="H17" i="2"/>
  <c r="H91" i="2"/>
  <c r="H18" i="2"/>
  <c r="H85" i="2"/>
  <c r="H40" i="2"/>
  <c r="H61" i="2"/>
  <c r="H39" i="2"/>
  <c r="H41" i="2"/>
  <c r="H22" i="2"/>
  <c r="H176" i="2"/>
  <c r="H204" i="2"/>
  <c r="H190" i="2"/>
  <c r="H199" i="2"/>
  <c r="H188" i="2"/>
  <c r="H209" i="2"/>
  <c r="H180" i="2"/>
  <c r="H170" i="2"/>
  <c r="H191" i="2"/>
  <c r="H34" i="2"/>
  <c r="H29" i="2"/>
  <c r="H106" i="2"/>
  <c r="H47" i="2"/>
  <c r="H52" i="2"/>
  <c r="H5" i="2"/>
  <c r="H25" i="2"/>
  <c r="H28" i="2"/>
  <c r="H63" i="2"/>
  <c r="H66" i="2"/>
  <c r="H55" i="2"/>
  <c r="H4" i="2"/>
  <c r="H33" i="2"/>
  <c r="H162" i="2"/>
  <c r="H161" i="2"/>
  <c r="H114" i="2"/>
  <c r="H146" i="2"/>
  <c r="H145" i="2"/>
  <c r="H127" i="2"/>
  <c r="H111" i="2"/>
  <c r="H220" i="2"/>
  <c r="H137" i="2"/>
  <c r="H218" i="2"/>
  <c r="H216" i="2"/>
  <c r="H214" i="2"/>
  <c r="H202" i="2"/>
  <c r="H200" i="2"/>
  <c r="H208" i="2"/>
  <c r="H185" i="2"/>
  <c r="H184" i="2"/>
  <c r="H203" i="2"/>
  <c r="H13" i="2"/>
  <c r="H35" i="2"/>
  <c r="H45" i="2"/>
  <c r="H71" i="2"/>
  <c r="H10" i="2"/>
  <c r="H68" i="2"/>
  <c r="H84" i="2"/>
  <c r="H14" i="2"/>
  <c r="H53" i="2"/>
  <c r="H24" i="2"/>
  <c r="H3" i="2"/>
  <c r="H43" i="2"/>
  <c r="H62" i="2"/>
  <c r="H158" i="2"/>
  <c r="H157" i="2"/>
  <c r="H116" i="2"/>
  <c r="H110" i="2"/>
  <c r="H108" i="2"/>
  <c r="H122" i="2"/>
  <c r="H109" i="2"/>
  <c r="H221" i="2"/>
  <c r="H183" i="2"/>
  <c r="H171" i="2"/>
  <c r="H211" i="2"/>
  <c r="H181" i="2"/>
  <c r="H217" i="2"/>
  <c r="H21" i="2"/>
  <c r="H20" i="2"/>
  <c r="H78" i="2"/>
  <c r="H104" i="2"/>
  <c r="H36" i="2"/>
  <c r="H57" i="2"/>
  <c r="H50" i="2"/>
  <c r="H2" i="2"/>
  <c r="H76" i="2"/>
  <c r="H27" i="2"/>
  <c r="H42" i="2"/>
  <c r="H74" i="2"/>
  <c r="H12" i="2"/>
  <c r="H160" i="2"/>
  <c r="H164" i="2"/>
  <c r="H151" i="2"/>
  <c r="H139" i="2"/>
  <c r="H148" i="2"/>
  <c r="H120" i="2"/>
  <c r="H131" i="2"/>
  <c r="H124" i="2"/>
  <c r="H178" i="2"/>
  <c r="H173" i="2"/>
  <c r="H205" i="2"/>
  <c r="H219" i="2"/>
  <c r="H49" i="2"/>
  <c r="H54" i="2"/>
  <c r="H19" i="2"/>
  <c r="H90" i="2"/>
  <c r="H100" i="2"/>
  <c r="H59" i="2"/>
  <c r="H67" i="2"/>
  <c r="H65" i="2"/>
  <c r="H11" i="2"/>
  <c r="H72" i="2"/>
  <c r="H94" i="2"/>
  <c r="H101" i="2"/>
  <c r="H98" i="2"/>
  <c r="H7" i="2"/>
  <c r="H154" i="2"/>
  <c r="H159" i="2"/>
  <c r="H150" i="2"/>
  <c r="H143" i="2"/>
  <c r="H149" i="2"/>
  <c r="H113" i="2"/>
  <c r="H132" i="2"/>
  <c r="H197" i="2"/>
  <c r="H175" i="2"/>
  <c r="H194" i="2"/>
  <c r="H222" i="2"/>
  <c r="H174" i="2"/>
  <c r="H206" i="2"/>
  <c r="H201" i="2"/>
  <c r="H168" i="2"/>
  <c r="H187" i="2"/>
  <c r="H210" i="2"/>
  <c r="H8" i="2"/>
  <c r="H83" i="2"/>
  <c r="H73" i="2"/>
  <c r="H105" i="2"/>
  <c r="H79" i="2"/>
  <c r="H15" i="2"/>
  <c r="H56" i="2"/>
  <c r="H87" i="2"/>
  <c r="H58" i="2"/>
  <c r="H107" i="2"/>
  <c r="H46" i="2"/>
  <c r="H80" i="2"/>
  <c r="H82" i="2"/>
  <c r="H93" i="2"/>
  <c r="H163" i="2"/>
  <c r="H153" i="2"/>
  <c r="H135" i="2"/>
  <c r="H144" i="2"/>
  <c r="H123" i="2"/>
  <c r="H121" i="2"/>
  <c r="H141" i="2"/>
  <c r="H117" i="2"/>
  <c r="H126" i="2"/>
  <c r="H133" i="2"/>
  <c r="H182" i="2"/>
  <c r="H179" i="2"/>
  <c r="H207" i="2"/>
  <c r="H193" i="2"/>
  <c r="H215" i="2"/>
  <c r="H26" i="2"/>
  <c r="H88" i="2"/>
  <c r="H92" i="2"/>
  <c r="H103" i="2"/>
  <c r="H99" i="2"/>
  <c r="H70" i="2"/>
  <c r="H32" i="2"/>
  <c r="H37" i="2"/>
  <c r="H38" i="2"/>
  <c r="H102" i="2"/>
  <c r="H86" i="2"/>
  <c r="H89" i="2"/>
  <c r="H31" i="2"/>
  <c r="H155" i="2"/>
  <c r="H165" i="2"/>
  <c r="H138" i="2"/>
  <c r="H140" i="2"/>
  <c r="H147" i="2"/>
  <c r="H119" i="2"/>
  <c r="H112" i="2"/>
  <c r="H128" i="2"/>
  <c r="H177" i="2"/>
  <c r="H213" i="2"/>
  <c r="H169" i="2"/>
  <c r="H196" i="2"/>
  <c r="H16" i="2"/>
  <c r="H64" i="2"/>
  <c r="H77" i="2"/>
  <c r="H75" i="2"/>
  <c r="H97" i="2"/>
  <c r="H69" i="2"/>
  <c r="H23" i="2"/>
  <c r="H9" i="2"/>
  <c r="H48" i="2"/>
  <c r="H95" i="2"/>
  <c r="H6" i="2"/>
  <c r="H51" i="2"/>
  <c r="H167" i="2"/>
  <c r="H136" i="2"/>
  <c r="H142" i="2"/>
  <c r="H134" i="2"/>
  <c r="H125" i="2"/>
  <c r="H115" i="2"/>
  <c r="J146" i="2" l="1"/>
  <c r="K146" i="2" s="1"/>
  <c r="L146" i="2" s="1"/>
  <c r="K48" i="2"/>
  <c r="L48" i="2" s="1"/>
  <c r="J140" i="2"/>
  <c r="K140" i="2" s="1"/>
  <c r="L140" i="2" s="1"/>
  <c r="J31" i="2"/>
  <c r="K31" i="2" s="1"/>
  <c r="L31" i="2" s="1"/>
  <c r="J184" i="2"/>
  <c r="K184" i="2" s="1"/>
  <c r="L184" i="2" s="1"/>
  <c r="J6" i="2"/>
  <c r="K6" i="2" s="1"/>
  <c r="L6" i="2" s="1"/>
  <c r="J215" i="2"/>
  <c r="K215" i="2" s="1"/>
  <c r="L215" i="2" s="1"/>
  <c r="J209" i="2"/>
  <c r="K209" i="2" s="1"/>
  <c r="L209" i="2" s="1"/>
  <c r="J187" i="2"/>
  <c r="K187" i="2" s="1"/>
  <c r="L187" i="2" s="1"/>
  <c r="J141" i="2"/>
  <c r="K141" i="2" s="1"/>
  <c r="L141" i="2" s="1"/>
  <c r="J161" i="2"/>
  <c r="K161" i="2" s="1"/>
  <c r="L161" i="2" s="1"/>
  <c r="J45" i="2"/>
  <c r="K45" i="2" s="1"/>
  <c r="L45" i="2" s="1"/>
  <c r="J62" i="2"/>
  <c r="K62" i="2" s="1"/>
  <c r="L62" i="2" s="1"/>
  <c r="J46" i="2"/>
  <c r="K46" i="2" s="1"/>
  <c r="L46" i="2" s="1"/>
  <c r="J210" i="2"/>
  <c r="K210" i="2" s="1"/>
  <c r="L210" i="2" s="1"/>
  <c r="J64" i="2"/>
  <c r="K64" i="2" s="1"/>
  <c r="L64" i="2" s="1"/>
  <c r="J159" i="2"/>
  <c r="K159" i="2" s="1"/>
  <c r="L159" i="2" s="1"/>
  <c r="J65" i="2"/>
  <c r="K65" i="2" s="1"/>
  <c r="L65" i="2" s="1"/>
  <c r="J188" i="2"/>
  <c r="K188" i="2" s="1"/>
  <c r="L188" i="2" s="1"/>
  <c r="J160" i="2"/>
  <c r="K160" i="2" s="1"/>
  <c r="L160" i="2" s="1"/>
  <c r="J50" i="2"/>
  <c r="K50" i="2" s="1"/>
  <c r="L50" i="2" s="1"/>
  <c r="J75" i="2"/>
  <c r="K75" i="2" s="1"/>
  <c r="L75" i="2" s="1"/>
  <c r="J182" i="2"/>
  <c r="K182" i="2" s="1"/>
  <c r="L182" i="2" s="1"/>
  <c r="J40" i="2"/>
  <c r="K40" i="2" s="1"/>
  <c r="L40" i="2" s="1"/>
  <c r="J18" i="2"/>
  <c r="K18" i="2" s="1"/>
  <c r="L18" i="2" s="1"/>
  <c r="J191" i="2"/>
  <c r="K191" i="2" s="1"/>
  <c r="L191" i="2" s="1"/>
  <c r="J197" i="2"/>
  <c r="K197" i="2" s="1"/>
  <c r="L197" i="2" s="1"/>
  <c r="J114" i="2"/>
  <c r="K114" i="2" s="1"/>
  <c r="L114" i="2" s="1"/>
  <c r="J5" i="2"/>
  <c r="K5" i="2" s="1"/>
  <c r="L5" i="2" s="1"/>
  <c r="J138" i="2"/>
  <c r="K138" i="2" s="1"/>
  <c r="L138" i="2" s="1"/>
  <c r="J102" i="2"/>
  <c r="K102" i="2" s="1"/>
  <c r="L102" i="2" s="1"/>
  <c r="J185" i="2"/>
  <c r="K185" i="2" s="1"/>
  <c r="L185" i="2" s="1"/>
  <c r="J28" i="2"/>
  <c r="K28" i="2" s="1"/>
  <c r="L28" i="2" s="1"/>
  <c r="J179" i="2"/>
  <c r="K179" i="2" s="1"/>
  <c r="L179" i="2" s="1"/>
  <c r="J190" i="2"/>
  <c r="K190" i="2" s="1"/>
  <c r="L190" i="2" s="1"/>
  <c r="J168" i="2"/>
  <c r="K168" i="2" s="1"/>
  <c r="L168" i="2" s="1"/>
  <c r="J121" i="2"/>
  <c r="K121" i="2" s="1"/>
  <c r="L121" i="2" s="1"/>
  <c r="J157" i="2"/>
  <c r="K157" i="2" s="1"/>
  <c r="L157" i="2" s="1"/>
  <c r="J68" i="2"/>
  <c r="K68" i="2" s="1"/>
  <c r="L68" i="2" s="1"/>
  <c r="J13" i="2"/>
  <c r="K13" i="2" s="1"/>
  <c r="L13" i="2" s="1"/>
  <c r="J107" i="2"/>
  <c r="K107" i="2" s="1"/>
  <c r="L107" i="2" s="1"/>
  <c r="J201" i="2"/>
  <c r="K201" i="2" s="1"/>
  <c r="L201" i="2" s="1"/>
  <c r="J170" i="2"/>
  <c r="K170" i="2" s="1"/>
  <c r="L170" i="2" s="1"/>
  <c r="J154" i="2"/>
  <c r="K154" i="2" s="1"/>
  <c r="L154" i="2" s="1"/>
  <c r="J67" i="2"/>
  <c r="K67" i="2" s="1"/>
  <c r="L67" i="2" s="1"/>
  <c r="J216" i="2"/>
  <c r="K216" i="2" s="1"/>
  <c r="L216" i="2" s="1"/>
  <c r="J12" i="2"/>
  <c r="K12" i="2" s="1"/>
  <c r="L12" i="2" s="1"/>
  <c r="J57" i="2"/>
  <c r="K57" i="2" s="1"/>
  <c r="L57" i="2" s="1"/>
  <c r="J177" i="2"/>
  <c r="K177" i="2" s="1"/>
  <c r="L177" i="2" s="1"/>
  <c r="J205" i="2"/>
  <c r="K205" i="2" s="1"/>
  <c r="L205" i="2" s="1"/>
  <c r="J17" i="2"/>
  <c r="K17" i="2" s="1"/>
  <c r="L17" i="2" s="1"/>
  <c r="J129" i="2"/>
  <c r="K129" i="2" s="1"/>
  <c r="L129" i="2" s="1"/>
  <c r="J183" i="2"/>
  <c r="K183" i="2" s="1"/>
  <c r="L183" i="2" s="1"/>
  <c r="J220" i="2"/>
  <c r="K220" i="2" s="1"/>
  <c r="L220" i="2" s="1"/>
  <c r="J118" i="2"/>
  <c r="K118" i="2" s="1"/>
  <c r="L118" i="2" s="1"/>
  <c r="J16" i="2"/>
  <c r="K16" i="2" s="1"/>
  <c r="L16" i="2" s="1"/>
  <c r="K165" i="2"/>
  <c r="L165" i="2" s="1"/>
  <c r="J32" i="2"/>
  <c r="K32" i="2" s="1"/>
  <c r="L32" i="2" s="1"/>
  <c r="J217" i="2"/>
  <c r="K217" i="2" s="1"/>
  <c r="L217" i="2" s="1"/>
  <c r="J77" i="2"/>
  <c r="K77" i="2" s="1"/>
  <c r="L77" i="2" s="1"/>
  <c r="J204" i="2"/>
  <c r="K204" i="2" s="1"/>
  <c r="L204" i="2" s="1"/>
  <c r="J133" i="2"/>
  <c r="K133" i="2" s="1"/>
  <c r="L133" i="2" s="1"/>
  <c r="J206" i="2"/>
  <c r="K206" i="2" s="1"/>
  <c r="L206" i="2" s="1"/>
  <c r="J123" i="2"/>
  <c r="K123" i="2" s="1"/>
  <c r="L123" i="2" s="1"/>
  <c r="J158" i="2"/>
  <c r="K158" i="2" s="1"/>
  <c r="L158" i="2" s="1"/>
  <c r="J24" i="2"/>
  <c r="K24" i="2" s="1"/>
  <c r="L24" i="2" s="1"/>
  <c r="J71" i="2"/>
  <c r="K71" i="2" s="1"/>
  <c r="L71" i="2" s="1"/>
  <c r="J58" i="2"/>
  <c r="K58" i="2" s="1"/>
  <c r="L58" i="2" s="1"/>
  <c r="J174" i="2"/>
  <c r="K174" i="2" s="1"/>
  <c r="L174" i="2" s="1"/>
  <c r="J214" i="2"/>
  <c r="K214" i="2" s="1"/>
  <c r="L214" i="2" s="1"/>
  <c r="J7" i="2"/>
  <c r="K7" i="2" s="1"/>
  <c r="L7" i="2" s="1"/>
  <c r="J59" i="2"/>
  <c r="K59" i="2" s="1"/>
  <c r="L59" i="2" s="1"/>
  <c r="J131" i="2"/>
  <c r="K131" i="2" s="1"/>
  <c r="L131" i="2" s="1"/>
  <c r="J74" i="2"/>
  <c r="K74" i="2" s="1"/>
  <c r="L74" i="2" s="1"/>
  <c r="J36" i="2"/>
  <c r="K36" i="2" s="1"/>
  <c r="L36" i="2" s="1"/>
  <c r="J218" i="2"/>
  <c r="K218" i="2" s="1"/>
  <c r="L218" i="2" s="1"/>
  <c r="J175" i="2"/>
  <c r="K175" i="2" s="1"/>
  <c r="L175" i="2" s="1"/>
  <c r="J41" i="2"/>
  <c r="K41" i="2" s="1"/>
  <c r="L41" i="2" s="1"/>
  <c r="J85" i="2"/>
  <c r="K85" i="2" s="1"/>
  <c r="L85" i="2" s="1"/>
  <c r="J221" i="2"/>
  <c r="K221" i="2" s="1"/>
  <c r="L221" i="2" s="1"/>
  <c r="J176" i="2"/>
  <c r="K176" i="2" s="1"/>
  <c r="L176" i="2" s="1"/>
  <c r="J108" i="2"/>
  <c r="K108" i="2" s="1"/>
  <c r="L108" i="2" s="1"/>
  <c r="J122" i="2"/>
  <c r="K122" i="2" s="1"/>
  <c r="L122" i="2" s="1"/>
  <c r="J115" i="2"/>
  <c r="K115" i="2" s="1"/>
  <c r="L115" i="2" s="1"/>
  <c r="K180" i="2"/>
  <c r="L180" i="2" s="1"/>
  <c r="J55" i="2"/>
  <c r="K55" i="2" s="1"/>
  <c r="L55" i="2" s="1"/>
  <c r="J103" i="2"/>
  <c r="K103" i="2" s="1"/>
  <c r="L103" i="2" s="1"/>
  <c r="J200" i="2"/>
  <c r="K200" i="2" s="1"/>
  <c r="L200" i="2" s="1"/>
  <c r="J199" i="2"/>
  <c r="K199" i="2" s="1"/>
  <c r="L199" i="2" s="1"/>
  <c r="J194" i="2"/>
  <c r="K194" i="2" s="1"/>
  <c r="L194" i="2" s="1"/>
  <c r="J126" i="2"/>
  <c r="K126" i="2" s="1"/>
  <c r="L126" i="2" s="1"/>
  <c r="J222" i="2"/>
  <c r="K222" i="2" s="1"/>
  <c r="L222" i="2" s="1"/>
  <c r="J144" i="2"/>
  <c r="K144" i="2" s="1"/>
  <c r="L144" i="2" s="1"/>
  <c r="J153" i="2"/>
  <c r="K153" i="2" s="1"/>
  <c r="L153" i="2" s="1"/>
  <c r="J35" i="2"/>
  <c r="K35" i="2" s="1"/>
  <c r="L35" i="2" s="1"/>
  <c r="J14" i="2"/>
  <c r="K14" i="2" s="1"/>
  <c r="L14" i="2" s="1"/>
  <c r="J87" i="2"/>
  <c r="K87" i="2" s="1"/>
  <c r="L87" i="2" s="1"/>
  <c r="J19" i="2"/>
  <c r="K19" i="2" s="1"/>
  <c r="L19" i="2" s="1"/>
  <c r="J132" i="2"/>
  <c r="K132" i="2" s="1"/>
  <c r="L132" i="2" s="1"/>
  <c r="J98" i="2"/>
  <c r="K98" i="2" s="1"/>
  <c r="L98" i="2" s="1"/>
  <c r="J100" i="2"/>
  <c r="K100" i="2" s="1"/>
  <c r="L100" i="2" s="1"/>
  <c r="J120" i="2"/>
  <c r="K120" i="2" s="1"/>
  <c r="L120" i="2" s="1"/>
  <c r="J42" i="2"/>
  <c r="K42" i="2" s="1"/>
  <c r="L42" i="2" s="1"/>
  <c r="J104" i="2"/>
  <c r="K104" i="2" s="1"/>
  <c r="L104" i="2" s="1"/>
  <c r="J86" i="2"/>
  <c r="K86" i="2" s="1"/>
  <c r="L86" i="2" s="1"/>
  <c r="J171" i="2"/>
  <c r="K171" i="2" s="1"/>
  <c r="L171" i="2" s="1"/>
  <c r="J155" i="2"/>
  <c r="K155" i="2" s="1"/>
  <c r="L155" i="2" s="1"/>
  <c r="J96" i="2"/>
  <c r="K96" i="2" s="1"/>
  <c r="L96" i="2" s="1"/>
  <c r="J54" i="2"/>
  <c r="K54" i="2" s="1"/>
  <c r="L54" i="2" s="1"/>
  <c r="J186" i="2"/>
  <c r="K186" i="2" s="1"/>
  <c r="L186" i="2" s="1"/>
  <c r="J109" i="2"/>
  <c r="K109" i="2" s="1"/>
  <c r="L109" i="2" s="1"/>
  <c r="J125" i="2"/>
  <c r="K125" i="2" s="1"/>
  <c r="L125" i="2" s="1"/>
  <c r="J128" i="2"/>
  <c r="K128" i="2" s="1"/>
  <c r="L128" i="2" s="1"/>
  <c r="J69" i="2"/>
  <c r="K69" i="2" s="1"/>
  <c r="L69" i="2" s="1"/>
  <c r="J26" i="2"/>
  <c r="K26" i="2" s="1"/>
  <c r="L26" i="2" s="1"/>
  <c r="J203" i="2"/>
  <c r="K203" i="2" s="1"/>
  <c r="L203" i="2" s="1"/>
  <c r="J89" i="2"/>
  <c r="K89" i="2" s="1"/>
  <c r="L89" i="2" s="1"/>
  <c r="J211" i="2"/>
  <c r="K211" i="2" s="1"/>
  <c r="L211" i="2" s="1"/>
  <c r="J117" i="2"/>
  <c r="K117" i="2" s="1"/>
  <c r="L117" i="2" s="1"/>
  <c r="J66" i="2"/>
  <c r="K66" i="2" s="1"/>
  <c r="L66" i="2" s="1"/>
  <c r="J135" i="2"/>
  <c r="K135" i="2" s="1"/>
  <c r="L135" i="2" s="1"/>
  <c r="J84" i="2"/>
  <c r="K84" i="2" s="1"/>
  <c r="L84" i="2" s="1"/>
  <c r="J43" i="2"/>
  <c r="K43" i="2" s="1"/>
  <c r="L43" i="2" s="1"/>
  <c r="J56" i="2"/>
  <c r="K56" i="2" s="1"/>
  <c r="L56" i="2" s="1"/>
  <c r="J219" i="2"/>
  <c r="K219" i="2" s="1"/>
  <c r="L219" i="2" s="1"/>
  <c r="J113" i="2"/>
  <c r="K113" i="2" s="1"/>
  <c r="L113" i="2" s="1"/>
  <c r="J101" i="2"/>
  <c r="K101" i="2" s="1"/>
  <c r="L101" i="2" s="1"/>
  <c r="J90" i="2"/>
  <c r="K90" i="2" s="1"/>
  <c r="L90" i="2" s="1"/>
  <c r="J148" i="2"/>
  <c r="K148" i="2" s="1"/>
  <c r="L148" i="2" s="1"/>
  <c r="J27" i="2"/>
  <c r="K27" i="2" s="1"/>
  <c r="L27" i="2" s="1"/>
  <c r="J78" i="2"/>
  <c r="K78" i="2" s="1"/>
  <c r="L78" i="2" s="1"/>
  <c r="J37" i="2"/>
  <c r="K37" i="2" s="1"/>
  <c r="L37" i="2" s="1"/>
  <c r="J130" i="2"/>
  <c r="K130" i="2" s="1"/>
  <c r="L130" i="2" s="1"/>
  <c r="J156" i="2"/>
  <c r="K156" i="2" s="1"/>
  <c r="L156" i="2" s="1"/>
  <c r="J61" i="2"/>
  <c r="K61" i="2" s="1"/>
  <c r="L61" i="2" s="1"/>
  <c r="J49" i="2"/>
  <c r="K49" i="2" s="1"/>
  <c r="L49" i="2" s="1"/>
  <c r="J189" i="2"/>
  <c r="K189" i="2" s="1"/>
  <c r="L189" i="2" s="1"/>
  <c r="J111" i="2"/>
  <c r="K111" i="2" s="1"/>
  <c r="L111" i="2" s="1"/>
  <c r="J134" i="2"/>
  <c r="K134" i="2" s="1"/>
  <c r="L134" i="2" s="1"/>
  <c r="J112" i="2"/>
  <c r="K112" i="2" s="1"/>
  <c r="L112" i="2" s="1"/>
  <c r="J106" i="2"/>
  <c r="K106" i="2" s="1"/>
  <c r="L106" i="2" s="1"/>
  <c r="J207" i="2"/>
  <c r="K207" i="2" s="1"/>
  <c r="L207" i="2" s="1"/>
  <c r="J208" i="2"/>
  <c r="K208" i="2" s="1"/>
  <c r="L208" i="2" s="1"/>
  <c r="J38" i="2"/>
  <c r="K38" i="2" s="1"/>
  <c r="L38" i="2" s="1"/>
  <c r="J9" i="2"/>
  <c r="K9" i="2" s="1"/>
  <c r="L9" i="2" s="1"/>
  <c r="J15" i="2"/>
  <c r="K15" i="2" s="1"/>
  <c r="L15" i="2" s="1"/>
  <c r="J97" i="2"/>
  <c r="K97" i="2" s="1"/>
  <c r="L97" i="2" s="1"/>
  <c r="J167" i="2"/>
  <c r="K167" i="2" s="1"/>
  <c r="L167" i="2" s="1"/>
  <c r="J163" i="2"/>
  <c r="K163" i="2" s="1"/>
  <c r="L163" i="2" s="1"/>
  <c r="J3" i="2"/>
  <c r="K3" i="2" s="1"/>
  <c r="L3" i="2" s="1"/>
  <c r="J93" i="2"/>
  <c r="K93" i="2" s="1"/>
  <c r="L93" i="2" s="1"/>
  <c r="J79" i="2"/>
  <c r="K79" i="2" s="1"/>
  <c r="L79" i="2" s="1"/>
  <c r="J178" i="2"/>
  <c r="K178" i="2" s="1"/>
  <c r="L178" i="2" s="1"/>
  <c r="J149" i="2"/>
  <c r="K149" i="2" s="1"/>
  <c r="L149" i="2" s="1"/>
  <c r="J94" i="2"/>
  <c r="K94" i="2" s="1"/>
  <c r="L94" i="2" s="1"/>
  <c r="J23" i="2"/>
  <c r="K23" i="2" s="1"/>
  <c r="L23" i="2" s="1"/>
  <c r="J139" i="2"/>
  <c r="K139" i="2" s="1"/>
  <c r="L139" i="2" s="1"/>
  <c r="J76" i="2"/>
  <c r="K76" i="2" s="1"/>
  <c r="L76" i="2" s="1"/>
  <c r="J20" i="2"/>
  <c r="K20" i="2" s="1"/>
  <c r="L20" i="2" s="1"/>
  <c r="J99" i="2"/>
  <c r="K99" i="2" s="1"/>
  <c r="L99" i="2" s="1"/>
  <c r="J137" i="2"/>
  <c r="K137" i="2" s="1"/>
  <c r="L137" i="2" s="1"/>
  <c r="J44" i="2"/>
  <c r="K44" i="2" s="1"/>
  <c r="L44" i="2" s="1"/>
  <c r="J91" i="2"/>
  <c r="K91" i="2" s="1"/>
  <c r="L91" i="2" s="1"/>
  <c r="J110" i="2"/>
  <c r="K110" i="2" s="1"/>
  <c r="L110" i="2" s="1"/>
  <c r="J172" i="2"/>
  <c r="K172" i="2" s="1"/>
  <c r="L172" i="2" s="1"/>
  <c r="J127" i="2"/>
  <c r="K127" i="2" s="1"/>
  <c r="L127" i="2" s="1"/>
  <c r="J142" i="2"/>
  <c r="K142" i="2" s="1"/>
  <c r="L142" i="2" s="1"/>
  <c r="J119" i="2"/>
  <c r="K119" i="2" s="1"/>
  <c r="L119" i="2" s="1"/>
  <c r="J169" i="2"/>
  <c r="K169" i="2" s="1"/>
  <c r="L169" i="2" s="1"/>
  <c r="J198" i="2"/>
  <c r="K198" i="2" s="1"/>
  <c r="L198" i="2" s="1"/>
  <c r="J70" i="2"/>
  <c r="K70" i="2" s="1"/>
  <c r="L70" i="2" s="1"/>
  <c r="J52" i="2"/>
  <c r="K52" i="2" s="1"/>
  <c r="L52" i="2" s="1"/>
  <c r="J105" i="2"/>
  <c r="K105" i="2" s="1"/>
  <c r="L105" i="2" s="1"/>
  <c r="J29" i="2"/>
  <c r="K29" i="2" s="1"/>
  <c r="L29" i="2" s="1"/>
  <c r="J166" i="2"/>
  <c r="K166" i="2" s="1"/>
  <c r="L166" i="2" s="1"/>
  <c r="J4" i="2"/>
  <c r="K4" i="2" s="1"/>
  <c r="L4" i="2" s="1"/>
  <c r="J10" i="2"/>
  <c r="K10" i="2" s="1"/>
  <c r="L10" i="2" s="1"/>
  <c r="J82" i="2"/>
  <c r="K82" i="2" s="1"/>
  <c r="L82" i="2" s="1"/>
  <c r="J73" i="2"/>
  <c r="K73" i="2" s="1"/>
  <c r="L73" i="2" s="1"/>
  <c r="J95" i="2"/>
  <c r="K95" i="2" s="1"/>
  <c r="L95" i="2" s="1"/>
  <c r="J143" i="2"/>
  <c r="K143" i="2" s="1"/>
  <c r="L143" i="2" s="1"/>
  <c r="J72" i="2"/>
  <c r="K72" i="2" s="1"/>
  <c r="L72" i="2" s="1"/>
  <c r="J47" i="2"/>
  <c r="K47" i="2" s="1"/>
  <c r="L47" i="2" s="1"/>
  <c r="J151" i="2"/>
  <c r="K151" i="2" s="1"/>
  <c r="L151" i="2" s="1"/>
  <c r="J2" i="2"/>
  <c r="K2" i="2" s="1"/>
  <c r="L2" i="2" s="1"/>
  <c r="J51" i="2"/>
  <c r="K51" i="2" s="1"/>
  <c r="L51" i="2" s="1"/>
  <c r="J88" i="2"/>
  <c r="K88" i="2" s="1"/>
  <c r="L88" i="2" s="1"/>
  <c r="J152" i="2"/>
  <c r="K152" i="2" s="1"/>
  <c r="L152" i="2" s="1"/>
  <c r="J81" i="2"/>
  <c r="K81" i="2" s="1"/>
  <c r="L81" i="2" s="1"/>
  <c r="J22" i="2"/>
  <c r="K22" i="2" s="1"/>
  <c r="L22" i="2" s="1"/>
  <c r="J34" i="2"/>
  <c r="K34" i="2" s="1"/>
  <c r="L34" i="2" s="1"/>
  <c r="J195" i="2"/>
  <c r="K195" i="2" s="1"/>
  <c r="L195" i="2" s="1"/>
  <c r="J145" i="2"/>
  <c r="K145" i="2" s="1"/>
  <c r="L145" i="2" s="1"/>
  <c r="J136" i="2"/>
  <c r="K136" i="2" s="1"/>
  <c r="L136" i="2" s="1"/>
  <c r="J147" i="2"/>
  <c r="K147" i="2" s="1"/>
  <c r="L147" i="2" s="1"/>
  <c r="J202" i="2"/>
  <c r="K202" i="2" s="1"/>
  <c r="L202" i="2" s="1"/>
  <c r="J173" i="2"/>
  <c r="K173" i="2" s="1"/>
  <c r="L173" i="2" s="1"/>
  <c r="J181" i="2"/>
  <c r="K181" i="2" s="1"/>
  <c r="L181" i="2" s="1"/>
  <c r="J92" i="2"/>
  <c r="K92" i="2" s="1"/>
  <c r="L92" i="2" s="1"/>
  <c r="J212" i="2"/>
  <c r="K212" i="2" s="1"/>
  <c r="L212" i="2" s="1"/>
  <c r="J83" i="2"/>
  <c r="K83" i="2" s="1"/>
  <c r="L83" i="2" s="1"/>
  <c r="J213" i="2"/>
  <c r="K213" i="2" s="1"/>
  <c r="L213" i="2" s="1"/>
  <c r="J162" i="2"/>
  <c r="K162" i="2" s="1"/>
  <c r="L162" i="2" s="1"/>
  <c r="J33" i="2"/>
  <c r="K33" i="2" s="1"/>
  <c r="L33" i="2" s="1"/>
  <c r="J53" i="2"/>
  <c r="K53" i="2" s="1"/>
  <c r="L53" i="2" s="1"/>
  <c r="J80" i="2"/>
  <c r="K80" i="2" s="1"/>
  <c r="L80" i="2" s="1"/>
  <c r="J8" i="2"/>
  <c r="K8" i="2" s="1"/>
  <c r="L8" i="2" s="1"/>
  <c r="J25" i="2"/>
  <c r="K25" i="2" s="1"/>
  <c r="L25" i="2" s="1"/>
  <c r="J150" i="2"/>
  <c r="K150" i="2" s="1"/>
  <c r="L150" i="2" s="1"/>
  <c r="J11" i="2"/>
  <c r="K11" i="2" s="1"/>
  <c r="L11" i="2" s="1"/>
  <c r="J196" i="2"/>
  <c r="K196" i="2" s="1"/>
  <c r="L196" i="2" s="1"/>
  <c r="J164" i="2"/>
  <c r="K164" i="2" s="1"/>
  <c r="L164" i="2" s="1"/>
  <c r="J63" i="2"/>
  <c r="K63" i="2" s="1"/>
  <c r="L63" i="2" s="1"/>
  <c r="J193" i="2"/>
  <c r="K193" i="2" s="1"/>
  <c r="L193" i="2" s="1"/>
  <c r="J60" i="2"/>
  <c r="K60" i="2" s="1"/>
  <c r="L60" i="2" s="1"/>
  <c r="J39" i="2"/>
  <c r="K39" i="2" s="1"/>
  <c r="L39" i="2" s="1"/>
  <c r="J30" i="2"/>
  <c r="K30" i="2" s="1"/>
  <c r="L30" i="2" s="1"/>
  <c r="J21" i="2"/>
  <c r="K21" i="2" s="1"/>
  <c r="L21" i="2" s="1"/>
  <c r="J192" i="2"/>
  <c r="K192" i="2" s="1"/>
  <c r="L192" i="2" s="1"/>
  <c r="J124" i="2"/>
  <c r="K124" i="2" s="1"/>
  <c r="L12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097458-2104-49F4-9A9C-90C7D11327DA}" odcFile="C:\Users\zayats.dv\Documents\Мои источники данных\kz-olap.lan.dns-shop.kz DNS-OLAP ДНС.odc" keepAlive="1" name="kz-olap.lan.dns-shop.kz DNS-OLAP ДНС" type="5" refreshedVersion="6" background="1">
    <dbPr connection="Provider=MSOLAP.8;Integrated Security=SSPI;Persist Security Info=True;Initial Catalog=DNS-OLAP;Data Source=kz-olap.lan.dns-shop.kz;MDX Compatibility=1;Safety Options=2;MDX Missing Member Mode=Error;Update Isolation Level=2" command="ДНС" commandType="1"/>
    <olapPr sendLocale="1" rowDrillCount="1000"/>
  </connection>
</connections>
</file>

<file path=xl/sharedStrings.xml><?xml version="1.0" encoding="utf-8"?>
<sst xmlns="http://schemas.openxmlformats.org/spreadsheetml/2006/main" count="474" uniqueCount="257">
  <si>
    <t>Ноутбуки</t>
  </si>
  <si>
    <t>Количество проданных товаров</t>
  </si>
  <si>
    <t>Товар</t>
  </si>
  <si>
    <t>Планшет NovaTab X1</t>
  </si>
  <si>
    <t>Планшет SkyPad Pro</t>
  </si>
  <si>
    <t>Планшет ElectroView 9</t>
  </si>
  <si>
    <t>Планшет Quantum Lite</t>
  </si>
  <si>
    <t>Планшет AeroTab M7</t>
  </si>
  <si>
    <t>Планшет Vortex 10</t>
  </si>
  <si>
    <t>Планшет ZenPad Plus</t>
  </si>
  <si>
    <t>Планшет GlideX 8</t>
  </si>
  <si>
    <t>Планшет TurboTab V3</t>
  </si>
  <si>
    <t>Планшет CrystalView 12</t>
  </si>
  <si>
    <t>Планшет FusionPad L</t>
  </si>
  <si>
    <t>Планшет Matrix 11</t>
  </si>
  <si>
    <t>Планшет PulseTab 6</t>
  </si>
  <si>
    <t>Планшет Orion X9</t>
  </si>
  <si>
    <t>Планшет SmartView Z</t>
  </si>
  <si>
    <t>Планшет Vector 8</t>
  </si>
  <si>
    <t>Планшет PixelPro 10</t>
  </si>
  <si>
    <t>Планшет LunaTab 9</t>
  </si>
  <si>
    <t>Планшет AlphaPad S</t>
  </si>
  <si>
    <t>Планшет EchoTab V8</t>
  </si>
  <si>
    <t>Планшет SolarView 7</t>
  </si>
  <si>
    <t>Планшет TitanTab M10</t>
  </si>
  <si>
    <t>Планшет NovaView L9</t>
  </si>
  <si>
    <t>Планшет SkyPad Max</t>
  </si>
  <si>
    <t>Планшет CyberTab 8</t>
  </si>
  <si>
    <t>Планшет BlazePro 11</t>
  </si>
  <si>
    <t>Планшет PulseView 6</t>
  </si>
  <si>
    <t>Планшет Zenith 10</t>
  </si>
  <si>
    <t>Планшет AeroView 9</t>
  </si>
  <si>
    <t>Планшет NovaTab Lite</t>
  </si>
  <si>
    <t>Планшет TurboPad X7</t>
  </si>
  <si>
    <t>Планшет Quantum S9</t>
  </si>
  <si>
    <t>Планшет NeoView M8</t>
  </si>
  <si>
    <t>Планшет FusionTab L10</t>
  </si>
  <si>
    <t>Планшет VectorPad 7</t>
  </si>
  <si>
    <t>Планшет PixelView Pro</t>
  </si>
  <si>
    <t>Планшет LunaPad X8</t>
  </si>
  <si>
    <t>Планшет AlphaView 6</t>
  </si>
  <si>
    <t>Планшет EchoPad 9</t>
  </si>
  <si>
    <t>Планшет SolarTab Plus</t>
  </si>
  <si>
    <t>Планшет TitanView M9</t>
  </si>
  <si>
    <t>Планшет CyberView 10</t>
  </si>
  <si>
    <t>Планшет BlazeTab X6</t>
  </si>
  <si>
    <t>Планшет ZenithPad S7</t>
  </si>
  <si>
    <t>Планшет</t>
  </si>
  <si>
    <t>Категория</t>
  </si>
  <si>
    <t>Телевизор</t>
  </si>
  <si>
    <t>Телевизор UltraView 55</t>
  </si>
  <si>
    <t>Телевизор SkyScreen 50</t>
  </si>
  <si>
    <t>Телевизор QuantumPixel 65</t>
  </si>
  <si>
    <t>Телевизор SmartVision 48</t>
  </si>
  <si>
    <t>Телевизор TitanScreen 70</t>
  </si>
  <si>
    <t>Телевизор PixelView 60</t>
  </si>
  <si>
    <t>Телевизор HorizonMax 55</t>
  </si>
  <si>
    <t>Телевизор BlazeView 58</t>
  </si>
  <si>
    <t>Телевизор EchoScreen 49</t>
  </si>
  <si>
    <t>Телевизор FusionView 52</t>
  </si>
  <si>
    <t>Телевизор ZenithVision 65</t>
  </si>
  <si>
    <t>Телевизор AeroScreen 55</t>
  </si>
  <si>
    <t>Телевизор NeoView 50</t>
  </si>
  <si>
    <t>Телевизор SolarVision 60</t>
  </si>
  <si>
    <t>Телевизор VectorScreen 58</t>
  </si>
  <si>
    <t>Телевизор PulseView 55</t>
  </si>
  <si>
    <t>Ноутбук AeroBook X1</t>
  </si>
  <si>
    <t>Ноутбук CyberPro 15</t>
  </si>
  <si>
    <t>Ноутбук NovaLite 14</t>
  </si>
  <si>
    <t>Ноутбук PixelMaster 13</t>
  </si>
  <si>
    <t>Ноутбук TitanBook S</t>
  </si>
  <si>
    <t>Ноутбук UltraPad 14</t>
  </si>
  <si>
    <t>Ноутбук FusionBook 15</t>
  </si>
  <si>
    <t>Ноутбук VectorX 17</t>
  </si>
  <si>
    <t>Ноутбук BlazeMaster 15</t>
  </si>
  <si>
    <t>Ноутбук EchoBook 14</t>
  </si>
  <si>
    <t>Ноутбук SkyFlex 16</t>
  </si>
  <si>
    <t>Ноутбук PulsePro 13</t>
  </si>
  <si>
    <t>Ноутбук CrystalBook 15</t>
  </si>
  <si>
    <t>Ноутбук NeoMaster 14</t>
  </si>
  <si>
    <t>Ноутбук HorizonX 16</t>
  </si>
  <si>
    <t>Ноутбук TurboPad 15</t>
  </si>
  <si>
    <t>Ноутбук AlphaX 17</t>
  </si>
  <si>
    <t>Ноутбук SolarFlex 14</t>
  </si>
  <si>
    <t>Ноутбук NovaPro 15</t>
  </si>
  <si>
    <t>Ноутбук QuantumX 16</t>
  </si>
  <si>
    <t>Ноутбук TitanFlex 15</t>
  </si>
  <si>
    <t>Ноутбук UltraMaster 14</t>
  </si>
  <si>
    <t>Ноутбук BlazeX 14</t>
  </si>
  <si>
    <t>Ноутбук EchoFlex 13</t>
  </si>
  <si>
    <t>Ноутбук SkyMaster 16</t>
  </si>
  <si>
    <t>Ноутбук PulseX 15</t>
  </si>
  <si>
    <t>Ноутбук CrystalFlex 14</t>
  </si>
  <si>
    <t>Ноутбук NeoX 13</t>
  </si>
  <si>
    <t>Ноутбук HorizonPro 16</t>
  </si>
  <si>
    <t>Ноутбук TurboMaster 15</t>
  </si>
  <si>
    <t>Ноутбук LunaX 14</t>
  </si>
  <si>
    <t>Ноутбук AlphaFlex 13</t>
  </si>
  <si>
    <t>Ноутбук SolarX 16</t>
  </si>
  <si>
    <t>Ноутбук NovaMaster 15</t>
  </si>
  <si>
    <t>Ноутбук QuantumPro 13</t>
  </si>
  <si>
    <t>Ноутбук TitanX 16</t>
  </si>
  <si>
    <t>Ноутбук UltraX 15</t>
  </si>
  <si>
    <t>Ноутбук FusionX 14</t>
  </si>
  <si>
    <t>Ноутбук ZenithMaster 13</t>
  </si>
  <si>
    <t>Ноутбук VectorXPro 16</t>
  </si>
  <si>
    <t>Ноутбук BlazePro 15</t>
  </si>
  <si>
    <t>Ноутбук EchoX 14</t>
  </si>
  <si>
    <t>Ноутбук SkyPro 13</t>
  </si>
  <si>
    <t>Ноутбук PulseMaster 16</t>
  </si>
  <si>
    <t>Ноутбук CrystalX 15</t>
  </si>
  <si>
    <t>Ноутбук NeoPro 14</t>
  </si>
  <si>
    <t>Ноутбук HorizonXPro 13</t>
  </si>
  <si>
    <t>Ноутбук TurboX 16</t>
  </si>
  <si>
    <t>Ноутбук LunaPro 15</t>
  </si>
  <si>
    <t>Ноутбук AlphaPro 14</t>
  </si>
  <si>
    <t>Ноутбук SolarPro 13</t>
  </si>
  <si>
    <t>Ноутбук NovaX 16</t>
  </si>
  <si>
    <t>Ноутбук CyberMaster 15</t>
  </si>
  <si>
    <t>Ноутбук QuantumMaster 14</t>
  </si>
  <si>
    <t>Ноутбук TitanPro 13</t>
  </si>
  <si>
    <t>Ноутбук UltraPro 16</t>
  </si>
  <si>
    <t>Ноутбук FusionMaster 15</t>
  </si>
  <si>
    <t>Ноутбук ZenithProX 14</t>
  </si>
  <si>
    <t>Ноутбук VectorMaster 13</t>
  </si>
  <si>
    <t>Ноутбук BlazeMasterX 16</t>
  </si>
  <si>
    <t>Ноутбук EchoMaster 15</t>
  </si>
  <si>
    <t>Ноутбук SkyMasterX 14</t>
  </si>
  <si>
    <t>Ноутбук PulseProX 13</t>
  </si>
  <si>
    <t>Ноутбук CrystalMaster 16</t>
  </si>
  <si>
    <t>Ноутбук NeoMasterX 15</t>
  </si>
  <si>
    <t>Ноутбук HorizonMaster 14</t>
  </si>
  <si>
    <t>Ноутбук TurboPro 13</t>
  </si>
  <si>
    <t>Ноутбук LunaMaster 16</t>
  </si>
  <si>
    <t>Ноутбук AlphaMaster 15</t>
  </si>
  <si>
    <t>Ноутбук NovaMasterX 13</t>
  </si>
  <si>
    <t>Ноутбук CyberProX 16</t>
  </si>
  <si>
    <t>Ноутбук QuantumProX 15</t>
  </si>
  <si>
    <t>Ноутбук TitanMaster 14</t>
  </si>
  <si>
    <t>Ноутбук UltraMasterX 13</t>
  </si>
  <si>
    <t>Ноутбук FusionProX 16</t>
  </si>
  <si>
    <t>Ноутбук ZenithMasterX 15</t>
  </si>
  <si>
    <t>Ноутбук VectorProX 14</t>
  </si>
  <si>
    <t>Ноутбук BlazeProX 13</t>
  </si>
  <si>
    <t>Ноутбук EchoPro 16</t>
  </si>
  <si>
    <t>Ноутбук SkyProX 15</t>
  </si>
  <si>
    <t>Ноутбук CrystalPro 13</t>
  </si>
  <si>
    <t>Ноутбук NeoProX 16</t>
  </si>
  <si>
    <t>Ноутбук HorizonProX 15</t>
  </si>
  <si>
    <t>Ноутбук TurboMasterX 14</t>
  </si>
  <si>
    <t>Ноутбук LunaProX 13</t>
  </si>
  <si>
    <t>Ноутбук AlphaProX 16</t>
  </si>
  <si>
    <t>Ноутбук SolarProX 15</t>
  </si>
  <si>
    <t>Ноутбук NovaProX 14</t>
  </si>
  <si>
    <t>Ноутбук CyberMasterX 13</t>
  </si>
  <si>
    <t>Ноутбук TitanProX 15</t>
  </si>
  <si>
    <t>Ноутбук UltraProX 14</t>
  </si>
  <si>
    <t>Ноутбук FusionMasterX 13</t>
  </si>
  <si>
    <t>Ноутбук ZenithProMax 16</t>
  </si>
  <si>
    <t>Ноутбук VectorMasterX 15</t>
  </si>
  <si>
    <t>Ноутбук BlazeMasterPro 14</t>
  </si>
  <si>
    <t>Ноутбук EchoMasterX 13</t>
  </si>
  <si>
    <t>Ноутбук SkyMasterPro 16</t>
  </si>
  <si>
    <t>Ноутбук PulseProMax 15</t>
  </si>
  <si>
    <t>Ноутбук CrystalMasterX 14</t>
  </si>
  <si>
    <t>Ноутбук NeoMasterPro 13</t>
  </si>
  <si>
    <t>Ноутбук HorizonMasterX 16</t>
  </si>
  <si>
    <t>Ноутбук TurboProMax 15</t>
  </si>
  <si>
    <t>Ноутбук LunaMasterPro 14</t>
  </si>
  <si>
    <t>Ноутбук AlphaMasterX 13</t>
  </si>
  <si>
    <t>Ноутбук NovaMasterPro 15</t>
  </si>
  <si>
    <t>Ноутбук CyberProMax 14</t>
  </si>
  <si>
    <t>Холодильник</t>
  </si>
  <si>
    <t>Холодильник FrostMax 300</t>
  </si>
  <si>
    <t>Холодильник IcePro 450</t>
  </si>
  <si>
    <t>Холодильник CoolTech X7</t>
  </si>
  <si>
    <t>Холодильник ArcticLine 500</t>
  </si>
  <si>
    <t>Холодильник Glacier 350</t>
  </si>
  <si>
    <t>Холодильник PolarFreeze 420</t>
  </si>
  <si>
    <t>Холодильник ChillMaster 400</t>
  </si>
  <si>
    <t>Холодильник IceKing 360</t>
  </si>
  <si>
    <t>Холодильник CoolBreeze 430</t>
  </si>
  <si>
    <t>Холодильник ArcticCool 370</t>
  </si>
  <si>
    <t>Холодильник GlacierPro 520</t>
  </si>
  <si>
    <t>Холодильник PolarChill 410</t>
  </si>
  <si>
    <t>Холодильник ChillZone 390</t>
  </si>
  <si>
    <t>Холодильник FrostLine 450</t>
  </si>
  <si>
    <t>Холодильник IceStorm 470</t>
  </si>
  <si>
    <t>Холодильник CoolForce 430</t>
  </si>
  <si>
    <t>Холодильник ArcticStar 400</t>
  </si>
  <si>
    <t>Холодильник GlacierMax 460</t>
  </si>
  <si>
    <t>Холодильник PolarIce 440</t>
  </si>
  <si>
    <t>Холодильник ChillTech 380</t>
  </si>
  <si>
    <t>Холодильник FrostPro 410</t>
  </si>
  <si>
    <t>Холодильник IceFlow 420</t>
  </si>
  <si>
    <t>Холодильник CoolZone 390</t>
  </si>
  <si>
    <t>Холодильник ArcticFreeze 470</t>
  </si>
  <si>
    <t>Холодильник GlacierStar 450</t>
  </si>
  <si>
    <t>Холодильник PolarWave 430</t>
  </si>
  <si>
    <t>Холодильник ChillForce 400</t>
  </si>
  <si>
    <t>Холодильник FrostKing 460</t>
  </si>
  <si>
    <t>Холодильник IceBreeze 420</t>
  </si>
  <si>
    <t>Холодильник CoolMax 440</t>
  </si>
  <si>
    <t>Холодильник ArcticForce 410</t>
  </si>
  <si>
    <t>Холодильник PolarStorm 450</t>
  </si>
  <si>
    <t>Холодильник ChillPro 400</t>
  </si>
  <si>
    <t>Холодильник FrostWave 470</t>
  </si>
  <si>
    <t>Холодильник IceStar 420</t>
  </si>
  <si>
    <t>Холодильник CoolLine 440</t>
  </si>
  <si>
    <t>Холодильник ArcticBreeze 430</t>
  </si>
  <si>
    <t>Холодильник GlacierForce 410</t>
  </si>
  <si>
    <t>Холодильник PolarMax 460</t>
  </si>
  <si>
    <t>Холодильник ChillKing 420</t>
  </si>
  <si>
    <t>Холодильник FrostZone 440</t>
  </si>
  <si>
    <t>Холодильник IceForce 430</t>
  </si>
  <si>
    <t>Холодильник CoolStar 410</t>
  </si>
  <si>
    <t>Холодильник ArcticMax 460</t>
  </si>
  <si>
    <t>Холодильник GlacierKing 420</t>
  </si>
  <si>
    <t>Холодильник PolarLine 440</t>
  </si>
  <si>
    <t>Холодильник ChillMax 430</t>
  </si>
  <si>
    <t>Холодильник FrostStar 410</t>
  </si>
  <si>
    <t>Холодильник IceZone 460</t>
  </si>
  <si>
    <t>Холодильник CoolKing 420</t>
  </si>
  <si>
    <t>Холодильник ArcticZone 440</t>
  </si>
  <si>
    <t>Холодильник GlacierZone 430</t>
  </si>
  <si>
    <t>Холодильник PolarPro 410</t>
  </si>
  <si>
    <t>Холодильник ChillStar 460</t>
  </si>
  <si>
    <t>Холодильник FrostForce 420</t>
  </si>
  <si>
    <t>Сумма выручки</t>
  </si>
  <si>
    <t>Сумма себестоимости</t>
  </si>
  <si>
    <t>Техническое задание для кандидата:</t>
  </si>
  <si>
    <t>Автоматизация ABC-анализа в Excel с присвоением статуса А, В или С по категориям</t>
  </si>
  <si>
    <t>Задача:</t>
  </si>
  <si>
    <r>
      <t xml:space="preserve">В Excel реализовать автоматическое присвоение каждому товару </t>
    </r>
    <r>
      <rPr>
        <b/>
        <sz val="11"/>
        <color theme="1"/>
        <rFont val="Calibri"/>
        <family val="2"/>
        <charset val="204"/>
        <scheme val="minor"/>
      </rPr>
      <t>одного статуса</t>
    </r>
    <r>
      <rPr>
        <sz val="11"/>
        <color theme="1"/>
        <rFont val="Calibri"/>
        <family val="2"/>
        <charset val="204"/>
        <scheme val="minor"/>
      </rPr>
      <t xml:space="preserve"> — </t>
    </r>
    <r>
      <rPr>
        <b/>
        <sz val="11"/>
        <color theme="1"/>
        <rFont val="Calibri"/>
        <family val="2"/>
        <charset val="204"/>
        <scheme val="minor"/>
      </rPr>
      <t>А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В</t>
    </r>
    <r>
      <rPr>
        <sz val="11"/>
        <color theme="1"/>
        <rFont val="Calibri"/>
        <family val="2"/>
        <charset val="204"/>
        <scheme val="minor"/>
      </rPr>
      <t xml:space="preserve"> или </t>
    </r>
    <r>
      <rPr>
        <b/>
        <sz val="11"/>
        <color theme="1"/>
        <rFont val="Calibri"/>
        <family val="2"/>
        <charset val="204"/>
        <scheme val="minor"/>
      </rPr>
      <t>С</t>
    </r>
    <r>
      <rPr>
        <sz val="11"/>
        <color theme="1"/>
        <rFont val="Calibri"/>
        <family val="2"/>
        <charset val="204"/>
        <scheme val="minor"/>
      </rPr>
      <t xml:space="preserve"> — в рамках его категории на основе двух показателей:</t>
    </r>
  </si>
  <si>
    <t>Выручка</t>
  </si>
  <si>
    <t>1. В рамках каждой категории вычислить долю товара в общей прибыли и выручке категории.</t>
  </si>
  <si>
    <t>2. Рассчитать комбинированный показатель (взвешенный индекс), где прибыль имеет больший вес (например, 70% к прибыли, 30% к выручке).</t>
  </si>
  <si>
    <t>A — первые 70%</t>
  </si>
  <si>
    <t>B — следующие 20%</t>
  </si>
  <si>
    <t>C — оставшиеся 10%</t>
  </si>
  <si>
    <r>
      <t xml:space="preserve">5. Статус должен присваиваться </t>
    </r>
    <r>
      <rPr>
        <b/>
        <sz val="11"/>
        <color theme="1"/>
        <rFont val="Calibri"/>
        <family val="2"/>
        <charset val="204"/>
        <scheme val="minor"/>
      </rPr>
      <t>автоматически</t>
    </r>
    <r>
      <rPr>
        <sz val="11"/>
        <color theme="1"/>
        <rFont val="Calibri"/>
        <family val="2"/>
        <charset val="204"/>
        <scheme val="minor"/>
      </rPr>
      <t xml:space="preserve"> с помощью формул (без ручного ввода) и быть </t>
    </r>
    <r>
      <rPr>
        <b/>
        <sz val="11"/>
        <color theme="1"/>
        <rFont val="Calibri"/>
        <family val="2"/>
        <charset val="204"/>
        <scheme val="minor"/>
      </rPr>
      <t>однозначным</t>
    </r>
    <r>
      <rPr>
        <sz val="11"/>
        <color theme="1"/>
        <rFont val="Calibri"/>
        <family val="2"/>
        <charset val="204"/>
        <scheme val="minor"/>
      </rPr>
      <t xml:space="preserve"> (только одна буква A, B или C).</t>
    </r>
  </si>
  <si>
    <r>
      <t xml:space="preserve">6. Анализ должен быть реализован </t>
    </r>
    <r>
      <rPr>
        <b/>
        <sz val="11"/>
        <color theme="1"/>
        <rFont val="Calibri"/>
        <family val="2"/>
        <charset val="204"/>
        <scheme val="minor"/>
      </rPr>
      <t>по каждой категории отдельно, но в рамках единого списка</t>
    </r>
  </si>
  <si>
    <t>Что нужно предоставить кандидату:</t>
  </si>
  <si>
    <t>Excel-файл с таблицей исходных данных и формулами для расчётов.</t>
  </si>
  <si>
    <t>Краткое описание, как работает автоматизация и что делает каждая формула.</t>
  </si>
  <si>
    <t>Пример работы на нескольких категориях и товарах.</t>
  </si>
  <si>
    <r>
      <t>Прибыль</t>
    </r>
    <r>
      <rPr>
        <sz val="11"/>
        <color theme="1"/>
        <rFont val="Calibri"/>
        <family val="2"/>
        <charset val="204"/>
        <scheme val="minor"/>
      </rPr>
      <t xml:space="preserve"> (выручка минус себестоимость), которой должен быть отдан наибольший вес.</t>
    </r>
  </si>
  <si>
    <t>3. Отсортировать товары по убыванию комбинированного показателя в каждой категории.</t>
  </si>
  <si>
    <t>4. На основании накопленной доли комбинированного показателя присвоить статус:</t>
  </si>
  <si>
    <t>7. Кандидат должен подробно описать использованные формулы и логику расчёта, которые впоследствии будут "автоматизированы" разработчиками.</t>
  </si>
  <si>
    <t>прибыль</t>
  </si>
  <si>
    <t>комбинированный показатель</t>
  </si>
  <si>
    <t>итого по категории</t>
  </si>
  <si>
    <t>ранг</t>
  </si>
  <si>
    <t>коммулятивный показатель</t>
  </si>
  <si>
    <t>коммулятивная доля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</si>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</sst>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,##0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1" fontId="0" fillId="0" borderId="0" xfId="0" applyNumberForma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/>
    <xf numFmtId="9" fontId="0" fillId="0" borderId="0" xfId="1" applyFont="1"/>
    <xf numFmtId="0" fontId="1" fillId="3" borderId="0" xfId="0" applyFont="1" applyFill="1" applyBorder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0E2A-488E-4BAB-ACED-45FC2AF0872F}">
  <dimension ref="A1:N222"/>
  <sheetViews>
    <sheetView tabSelected="1" topLeftCell="D1" zoomScale="94" workbookViewId="0">
      <pane ySplit="1" topLeftCell="A2" activePane="bottomLeft" state="frozen"/>
      <selection pane="bottomLeft" activeCell="L9" sqref="L9"/>
    </sheetView>
  </sheetViews>
  <sheetFormatPr baseColWidth="10" defaultColWidth="8.83203125" defaultRowHeight="15" x14ac:dyDescent="0.2"/>
  <cols>
    <col min="1" max="1" width="25.1640625" customWidth="1"/>
    <col min="2" max="2" width="28.83203125" bestFit="1" customWidth="1"/>
    <col min="3" max="3" width="21.83203125" customWidth="1"/>
    <col min="4" max="4" width="14.6640625" customWidth="1"/>
    <col min="5" max="5" width="24.33203125" bestFit="1" customWidth="1"/>
    <col min="7" max="7" width="17.83203125" customWidth="1"/>
    <col min="8" max="12" width="14.5" customWidth="1"/>
    <col min="14" max="14" width="96.33203125" bestFit="1" customWidth="1"/>
  </cols>
  <sheetData>
    <row r="1" spans="1:14" s="11" customFormat="1" ht="32" x14ac:dyDescent="0.2">
      <c r="A1" s="10" t="s">
        <v>48</v>
      </c>
      <c r="B1" s="10" t="s">
        <v>2</v>
      </c>
      <c r="C1" s="10" t="s">
        <v>1</v>
      </c>
      <c r="D1" s="10" t="s">
        <v>228</v>
      </c>
      <c r="E1" s="10" t="s">
        <v>229</v>
      </c>
      <c r="F1" s="9" t="s">
        <v>250</v>
      </c>
      <c r="G1" s="9" t="s">
        <v>251</v>
      </c>
      <c r="H1" s="9" t="s">
        <v>252</v>
      </c>
      <c r="I1" s="9" t="s">
        <v>253</v>
      </c>
      <c r="J1" s="15" t="s">
        <v>254</v>
      </c>
      <c r="K1" s="15" t="s">
        <v>255</v>
      </c>
      <c r="L1" s="9" t="s">
        <v>256</v>
      </c>
      <c r="N1" s="12" t="s">
        <v>230</v>
      </c>
    </row>
    <row r="2" spans="1:14" x14ac:dyDescent="0.2">
      <c r="A2" s="2" t="s">
        <v>0</v>
      </c>
      <c r="B2" t="s">
        <v>108</v>
      </c>
      <c r="C2" s="1">
        <v>33</v>
      </c>
      <c r="D2" s="4">
        <v>11785419.689999999</v>
      </c>
      <c r="E2" s="4">
        <v>9866175.9800000004</v>
      </c>
      <c r="F2" s="4">
        <f>D2-E2</f>
        <v>1919243.709999999</v>
      </c>
      <c r="G2">
        <f>F2*0.7+D2*0.3</f>
        <v>4879096.5039999988</v>
      </c>
      <c r="H2">
        <f>SUMIF(A:A,A2,G:G)</f>
        <v>50096506.616999969</v>
      </c>
      <c r="I2">
        <f>COUNTIFS(A:A, A2,G:G, "&gt;="&amp;G2)</f>
        <v>1</v>
      </c>
      <c r="J2">
        <f>SUMIFS(G:G,A:A,A2,I:I, "&lt;="&amp;I2)</f>
        <v>4879096.5039999988</v>
      </c>
      <c r="K2" s="14">
        <f>J2/H2</f>
        <v>9.7393946873419401E-2</v>
      </c>
      <c r="L2" s="14" t="str">
        <f>IF(K2&lt;=0.7,"А",IF(K2&lt;=0.9,"B","C"))</f>
        <v>А</v>
      </c>
      <c r="N2" t="s">
        <v>231</v>
      </c>
    </row>
    <row r="3" spans="1:14" x14ac:dyDescent="0.2">
      <c r="A3" s="2" t="s">
        <v>0</v>
      </c>
      <c r="B3" t="s">
        <v>85</v>
      </c>
      <c r="C3" s="1">
        <v>58</v>
      </c>
      <c r="D3" s="4">
        <v>5178053.71</v>
      </c>
      <c r="E3" s="4">
        <v>3549377.62</v>
      </c>
      <c r="F3" s="4">
        <f>D3-E3</f>
        <v>1628676.0899999999</v>
      </c>
      <c r="G3">
        <f>F3*0.7+D3*0.3</f>
        <v>2693489.3759999997</v>
      </c>
      <c r="H3">
        <f>SUMIF(A:A,A3,G:G)</f>
        <v>50096506.616999969</v>
      </c>
      <c r="I3">
        <f>COUNTIFS(A:A, A3,G:G, "&gt;="&amp;G3)</f>
        <v>2</v>
      </c>
      <c r="J3">
        <f>SUMIFS(G:G,A:A,A3,I:I, "&lt;="&amp;I3)</f>
        <v>7572585.879999999</v>
      </c>
      <c r="K3" s="14">
        <f>J3/H3</f>
        <v>0.15115995887486264</v>
      </c>
      <c r="L3" s="14" t="str">
        <f>IF(K3&lt;=0.7,"А",IF(K3&lt;=0.9,"B","C"))</f>
        <v>А</v>
      </c>
    </row>
    <row r="4" spans="1:14" ht="19" x14ac:dyDescent="0.2">
      <c r="A4" s="2" t="s">
        <v>0</v>
      </c>
      <c r="B4" t="s">
        <v>78</v>
      </c>
      <c r="C4" s="1">
        <v>19</v>
      </c>
      <c r="D4" s="4">
        <v>6321258.96</v>
      </c>
      <c r="E4" s="4">
        <v>5329504.5</v>
      </c>
      <c r="F4" s="4">
        <f>D4-E4</f>
        <v>991754.46</v>
      </c>
      <c r="G4">
        <f>F4*0.7+D4*0.3</f>
        <v>2590605.8099999996</v>
      </c>
      <c r="H4">
        <f>SUMIF(A:A,A4,G:G)</f>
        <v>50096506.616999969</v>
      </c>
      <c r="I4">
        <f>COUNTIFS(A:A, A4,G:G, "&gt;="&amp;G4)</f>
        <v>3</v>
      </c>
      <c r="J4">
        <f>SUMIFS(G:G,A:A,A4,I:I, "&lt;="&amp;I4)</f>
        <v>10163191.689999998</v>
      </c>
      <c r="K4" s="14">
        <f>J4/H4</f>
        <v>0.20287226348336185</v>
      </c>
      <c r="L4" s="14" t="str">
        <f>IF(K4&lt;=0.7,"А",IF(K4&lt;=0.9,"B","C"))</f>
        <v>А</v>
      </c>
      <c r="N4" s="6" t="s">
        <v>232</v>
      </c>
    </row>
    <row r="5" spans="1:14" x14ac:dyDescent="0.2">
      <c r="A5" s="2" t="s">
        <v>0</v>
      </c>
      <c r="B5" t="s">
        <v>126</v>
      </c>
      <c r="C5" s="1">
        <v>29</v>
      </c>
      <c r="D5" s="4">
        <v>5653312.4299999997</v>
      </c>
      <c r="E5" s="4">
        <v>4805315.46</v>
      </c>
      <c r="F5" s="4">
        <f>D5-E5</f>
        <v>847996.96999999974</v>
      </c>
      <c r="G5">
        <f>F5*0.7+D5*0.3</f>
        <v>2289591.6079999995</v>
      </c>
      <c r="H5">
        <f>SUMIF(A:A,A5,G:G)</f>
        <v>50096506.616999969</v>
      </c>
      <c r="I5">
        <f>COUNTIFS(A:A, A5,G:G, "&gt;="&amp;G5)</f>
        <v>4</v>
      </c>
      <c r="J5">
        <f>SUMIFS(G:G,A:A,A5,I:I, "&lt;="&amp;I5)</f>
        <v>12452783.297999997</v>
      </c>
      <c r="K5" s="14">
        <f>J5/H5</f>
        <v>0.24857588161195684</v>
      </c>
      <c r="L5" s="14" t="str">
        <f>IF(K5&lt;=0.7,"А",IF(K5&lt;=0.9,"B","C"))</f>
        <v>А</v>
      </c>
      <c r="N5" t="s">
        <v>233</v>
      </c>
    </row>
    <row r="6" spans="1:14" x14ac:dyDescent="0.2">
      <c r="A6" s="2" t="s">
        <v>0</v>
      </c>
      <c r="B6" t="s">
        <v>87</v>
      </c>
      <c r="C6" s="1">
        <v>6</v>
      </c>
      <c r="D6" s="4">
        <v>5174946.42</v>
      </c>
      <c r="E6" s="4">
        <v>4398704.45</v>
      </c>
      <c r="F6" s="4">
        <f>D6-E6</f>
        <v>776241.96999999974</v>
      </c>
      <c r="G6">
        <f>F6*0.7+D6*0.3</f>
        <v>2095853.3049999997</v>
      </c>
      <c r="H6">
        <f>SUMIF(A:A,A6,G:G)</f>
        <v>50096506.616999969</v>
      </c>
      <c r="I6">
        <f>COUNTIFS(A:A, A6,G:G, "&gt;="&amp;G6)</f>
        <v>5</v>
      </c>
      <c r="J6">
        <f>SUMIFS(G:G,A:A,A6,I:I, "&lt;="&amp;I6)</f>
        <v>14548636.602999996</v>
      </c>
      <c r="K6" s="14">
        <f>J6/H6</f>
        <v>0.29041219808454666</v>
      </c>
      <c r="L6" s="14" t="str">
        <f>IF(K6&lt;=0.7,"А",IF(K6&lt;=0.9,"B","C"))</f>
        <v>А</v>
      </c>
      <c r="N6" s="7" t="s">
        <v>234</v>
      </c>
    </row>
    <row r="7" spans="1:14" x14ac:dyDescent="0.2">
      <c r="A7" s="2" t="s">
        <v>0</v>
      </c>
      <c r="B7" t="s">
        <v>67</v>
      </c>
      <c r="C7" s="1">
        <v>11</v>
      </c>
      <c r="D7" s="4">
        <v>4858473.2</v>
      </c>
      <c r="E7" s="4">
        <v>4129702.21</v>
      </c>
      <c r="F7" s="4">
        <f>D7-E7</f>
        <v>728770.99000000022</v>
      </c>
      <c r="G7">
        <f>F7*0.7+D7*0.3</f>
        <v>1967681.6530000002</v>
      </c>
      <c r="H7">
        <f>SUMIF(A:A,A7,G:G)</f>
        <v>50096506.616999969</v>
      </c>
      <c r="I7">
        <f>COUNTIFS(A:A, A7,G:G, "&gt;="&amp;G7)</f>
        <v>6</v>
      </c>
      <c r="J7">
        <f>SUMIFS(G:G,A:A,A7,I:I, "&lt;="&amp;I7)</f>
        <v>16516318.255999997</v>
      </c>
      <c r="K7" s="14">
        <f>J7/H7</f>
        <v>0.32969001975070406</v>
      </c>
      <c r="L7" s="14" t="str">
        <f>IF(K7&lt;=0.7,"А",IF(K7&lt;=0.9,"B","C"))</f>
        <v>А</v>
      </c>
      <c r="N7" s="7" t="s">
        <v>246</v>
      </c>
    </row>
    <row r="8" spans="1:14" x14ac:dyDescent="0.2">
      <c r="A8" s="2" t="s">
        <v>0</v>
      </c>
      <c r="B8" t="s">
        <v>170</v>
      </c>
      <c r="C8" s="1">
        <v>8</v>
      </c>
      <c r="D8" s="4">
        <v>3214214.32</v>
      </c>
      <c r="E8" s="4">
        <v>2566619.61</v>
      </c>
      <c r="F8" s="4">
        <f>D8-E8</f>
        <v>647594.71</v>
      </c>
      <c r="G8">
        <f>F8*0.7+D8*0.3</f>
        <v>1417580.5929999999</v>
      </c>
      <c r="H8">
        <f>SUMIF(A:A,A8,G:G)</f>
        <v>50096506.616999969</v>
      </c>
      <c r="I8">
        <f>COUNTIFS(A:A, A8,G:G, "&gt;="&amp;G8)</f>
        <v>7</v>
      </c>
      <c r="J8">
        <f>SUMIFS(G:G,A:A,A8,I:I, "&lt;="&amp;I8)</f>
        <v>17933898.848999996</v>
      </c>
      <c r="K8" s="14">
        <f>J8/H8</f>
        <v>0.35798701466569383</v>
      </c>
      <c r="L8" s="14" t="str">
        <f>IF(K8&lt;=0.7,"А",IF(K8&lt;=0.9,"B","C"))</f>
        <v>А</v>
      </c>
    </row>
    <row r="9" spans="1:14" x14ac:dyDescent="0.2">
      <c r="A9" s="2" t="s">
        <v>0</v>
      </c>
      <c r="B9" t="s">
        <v>111</v>
      </c>
      <c r="C9" s="1">
        <v>10</v>
      </c>
      <c r="D9" s="4">
        <v>3374910.74</v>
      </c>
      <c r="E9" s="4">
        <v>2835199.09</v>
      </c>
      <c r="F9" s="4">
        <f>D9-E9</f>
        <v>539711.65000000037</v>
      </c>
      <c r="G9">
        <f>F9*0.7+D9*0.3</f>
        <v>1390271.3770000003</v>
      </c>
      <c r="H9">
        <f>SUMIF(A:A,A9,G:G)</f>
        <v>50096506.616999969</v>
      </c>
      <c r="I9">
        <f>COUNTIFS(A:A, A9,G:G, "&gt;="&amp;G9)</f>
        <v>8</v>
      </c>
      <c r="J9">
        <f>SUMIFS(G:G,A:A,A9,I:I, "&lt;="&amp;I9)</f>
        <v>19324170.225999996</v>
      </c>
      <c r="K9" s="14">
        <f>J9/H9</f>
        <v>0.38573887743786206</v>
      </c>
      <c r="L9" s="14" t="str">
        <f>IF(K9&lt;=0.7,"А",IF(K9&lt;=0.9,"B","C"))</f>
        <v>А</v>
      </c>
      <c r="N9" s="5"/>
    </row>
    <row r="10" spans="1:14" x14ac:dyDescent="0.2">
      <c r="A10" s="2" t="s">
        <v>0</v>
      </c>
      <c r="B10" t="s">
        <v>133</v>
      </c>
      <c r="C10" s="1">
        <v>27</v>
      </c>
      <c r="D10" s="4">
        <v>2651544.69</v>
      </c>
      <c r="E10" s="4">
        <v>1852141.9</v>
      </c>
      <c r="F10" s="4">
        <f>D10-E10</f>
        <v>799402.79</v>
      </c>
      <c r="G10">
        <f>F10*0.7+D10*0.3</f>
        <v>1355045.3599999999</v>
      </c>
      <c r="H10">
        <f>SUMIF(A:A,A10,G:G)</f>
        <v>50096506.616999969</v>
      </c>
      <c r="I10">
        <f>COUNTIFS(A:A, A10,G:G, "&gt;="&amp;G10)</f>
        <v>9</v>
      </c>
      <c r="J10">
        <f>SUMIFS(G:G,A:A,A10,I:I, "&lt;="&amp;I10)</f>
        <v>20679215.585999995</v>
      </c>
      <c r="K10" s="14">
        <f>J10/H10</f>
        <v>0.41278757706795105</v>
      </c>
      <c r="L10" s="14" t="str">
        <f>IF(K10&lt;=0.7,"А",IF(K10&lt;=0.9,"B","C"))</f>
        <v>А</v>
      </c>
      <c r="N10" s="5" t="s">
        <v>235</v>
      </c>
    </row>
    <row r="11" spans="1:14" x14ac:dyDescent="0.2">
      <c r="A11" s="2" t="s">
        <v>0</v>
      </c>
      <c r="B11" t="s">
        <v>107</v>
      </c>
      <c r="C11" s="1">
        <v>9</v>
      </c>
      <c r="D11" s="4">
        <v>3053491.11</v>
      </c>
      <c r="E11" s="4">
        <v>2546717.6800000002</v>
      </c>
      <c r="F11" s="4">
        <f>D11-E11</f>
        <v>506773.4299999997</v>
      </c>
      <c r="G11">
        <f>F11*0.7+D11*0.3</f>
        <v>1270788.7339999997</v>
      </c>
      <c r="H11">
        <f>SUMIF(A:A,A11,G:G)</f>
        <v>50096506.616999969</v>
      </c>
      <c r="I11">
        <f>COUNTIFS(A:A, A11,G:G, "&gt;="&amp;G11)</f>
        <v>10</v>
      </c>
      <c r="J11">
        <f>SUMIFS(G:G,A:A,A11,I:I, "&lt;="&amp;I11)</f>
        <v>21950004.319999997</v>
      </c>
      <c r="K11" s="14">
        <f>J11/H11</f>
        <v>0.43815439044109683</v>
      </c>
      <c r="L11" s="14" t="str">
        <f>IF(K11&lt;=0.7,"А",IF(K11&lt;=0.9,"B","C"))</f>
        <v>А</v>
      </c>
      <c r="N11" s="5" t="s">
        <v>236</v>
      </c>
    </row>
    <row r="12" spans="1:14" x14ac:dyDescent="0.2">
      <c r="A12" s="2" t="s">
        <v>0</v>
      </c>
      <c r="B12" t="s">
        <v>68</v>
      </c>
      <c r="C12" s="1">
        <v>7</v>
      </c>
      <c r="D12" s="4">
        <v>3124937.48</v>
      </c>
      <c r="E12" s="4">
        <v>2656196.83</v>
      </c>
      <c r="F12" s="4">
        <f>D12-E12</f>
        <v>468740.64999999991</v>
      </c>
      <c r="G12">
        <f>F12*0.7+D12*0.3</f>
        <v>1265599.6989999998</v>
      </c>
      <c r="H12">
        <f>SUMIF(A:A,A12,G:G)</f>
        <v>50096506.616999969</v>
      </c>
      <c r="I12">
        <f>COUNTIFS(A:A, A12,G:G, "&gt;="&amp;G12)</f>
        <v>11</v>
      </c>
      <c r="J12">
        <f>SUMIFS(G:G,A:A,A12,I:I, "&lt;="&amp;I12)</f>
        <v>23215604.018999998</v>
      </c>
      <c r="K12" s="14">
        <f>J12/H12</f>
        <v>0.46341762303884704</v>
      </c>
      <c r="L12" s="14" t="str">
        <f>IF(K12&lt;=0.7,"А",IF(K12&lt;=0.9,"B","C"))</f>
        <v>А</v>
      </c>
      <c r="N12" s="5" t="s">
        <v>247</v>
      </c>
    </row>
    <row r="13" spans="1:14" x14ac:dyDescent="0.2">
      <c r="A13" s="2" t="s">
        <v>0</v>
      </c>
      <c r="B13" t="s">
        <v>165</v>
      </c>
      <c r="C13" s="1">
        <v>2</v>
      </c>
      <c r="D13" s="4">
        <v>2946410.72</v>
      </c>
      <c r="E13" s="4">
        <v>2504449.12</v>
      </c>
      <c r="F13" s="4">
        <f>D13-E13</f>
        <v>441961.60000000009</v>
      </c>
      <c r="G13">
        <f>F13*0.7+D13*0.3</f>
        <v>1193296.3360000001</v>
      </c>
      <c r="H13">
        <f>SUMIF(A:A,A13,G:G)</f>
        <v>50096506.616999969</v>
      </c>
      <c r="I13">
        <f>COUNTIFS(A:A, A13,G:G, "&gt;="&amp;G13)</f>
        <v>12</v>
      </c>
      <c r="J13">
        <f>SUMIFS(G:G,A:A,A13,I:I, "&lt;="&amp;I13)</f>
        <v>24408900.354999997</v>
      </c>
      <c r="K13" s="14">
        <f>J13/H13</f>
        <v>0.4872375741009648</v>
      </c>
      <c r="L13" s="14" t="str">
        <f>IF(K13&lt;=0.7,"А",IF(K13&lt;=0.9,"B","C"))</f>
        <v>А</v>
      </c>
      <c r="N13" s="5" t="s">
        <v>248</v>
      </c>
    </row>
    <row r="14" spans="1:14" x14ac:dyDescent="0.2">
      <c r="A14" s="2" t="s">
        <v>0</v>
      </c>
      <c r="B14" t="s">
        <v>109</v>
      </c>
      <c r="C14" s="1">
        <v>6</v>
      </c>
      <c r="D14" s="4">
        <v>2678517.84</v>
      </c>
      <c r="E14" s="4">
        <v>2248090.19</v>
      </c>
      <c r="F14" s="4">
        <f>D14-E14</f>
        <v>430427.64999999991</v>
      </c>
      <c r="G14">
        <f>F14*0.7+D14*0.3</f>
        <v>1104854.7069999999</v>
      </c>
      <c r="H14">
        <f>SUMIF(A:A,A14,G:G)</f>
        <v>50096506.616999969</v>
      </c>
      <c r="I14">
        <f>COUNTIFS(A:A, A14,G:G, "&gt;="&amp;G14)</f>
        <v>13</v>
      </c>
      <c r="J14">
        <f>SUMIFS(G:G,A:A,A14,I:I, "&lt;="&amp;I14)</f>
        <v>25513755.061999995</v>
      </c>
      <c r="K14" s="14">
        <f>J14/H14</f>
        <v>0.50929210008711556</v>
      </c>
      <c r="L14" s="14" t="str">
        <f>IF(K14&lt;=0.7,"А",IF(K14&lt;=0.9,"B","C"))</f>
        <v>А</v>
      </c>
    </row>
    <row r="15" spans="1:14" x14ac:dyDescent="0.2">
      <c r="A15" s="2" t="s">
        <v>0</v>
      </c>
      <c r="B15" t="s">
        <v>130</v>
      </c>
      <c r="C15" s="1">
        <v>8</v>
      </c>
      <c r="D15" s="4">
        <v>2589214.27</v>
      </c>
      <c r="E15" s="4">
        <v>2200832.1</v>
      </c>
      <c r="F15" s="4">
        <f>D15-E15</f>
        <v>388382.16999999993</v>
      </c>
      <c r="G15">
        <f>F15*0.7+D15*0.3</f>
        <v>1048631.7999999998</v>
      </c>
      <c r="H15">
        <f>SUMIF(A:A,A15,G:G)</f>
        <v>50096506.616999969</v>
      </c>
      <c r="I15">
        <f>COUNTIFS(A:A, A15,G:G, "&gt;="&amp;G15)</f>
        <v>14</v>
      </c>
      <c r="J15">
        <f>SUMIFS(G:G,A:A,A15,I:I, "&lt;="&amp;I15)</f>
        <v>26562386.861999996</v>
      </c>
      <c r="K15" s="14">
        <f>J15/H15</f>
        <v>0.53022433410528869</v>
      </c>
      <c r="L15" s="14" t="str">
        <f>IF(K15&lt;=0.7,"А",IF(K15&lt;=0.9,"B","C"))</f>
        <v>А</v>
      </c>
      <c r="N15" s="8" t="s">
        <v>237</v>
      </c>
    </row>
    <row r="16" spans="1:14" x14ac:dyDescent="0.2">
      <c r="A16" s="2" t="s">
        <v>0</v>
      </c>
      <c r="B16" t="s">
        <v>167</v>
      </c>
      <c r="C16" s="1">
        <v>8</v>
      </c>
      <c r="D16" s="4">
        <v>2464035.7200000002</v>
      </c>
      <c r="E16" s="4">
        <v>2091182.86</v>
      </c>
      <c r="F16" s="4">
        <f>D16-E16</f>
        <v>372852.8600000001</v>
      </c>
      <c r="G16">
        <f>F16*0.7+D16*0.3</f>
        <v>1000207.7180000001</v>
      </c>
      <c r="H16">
        <f>SUMIF(A:A,A16,G:G)</f>
        <v>50096506.616999969</v>
      </c>
      <c r="I16">
        <f>COUNTIFS(A:A, A16,G:G, "&gt;="&amp;G16)</f>
        <v>15</v>
      </c>
      <c r="J16">
        <f>SUMIFS(G:G,A:A,A16,I:I, "&lt;="&amp;I16)</f>
        <v>27562594.579999994</v>
      </c>
      <c r="K16" s="14">
        <f>J16/H16</f>
        <v>0.55018995218015432</v>
      </c>
      <c r="L16" s="14" t="str">
        <f>IF(K16&lt;=0.7,"А",IF(K16&lt;=0.9,"B","C"))</f>
        <v>А</v>
      </c>
      <c r="N16" s="8" t="s">
        <v>238</v>
      </c>
    </row>
    <row r="17" spans="1:14" x14ac:dyDescent="0.2">
      <c r="A17" s="2" t="s">
        <v>0</v>
      </c>
      <c r="B17" t="s">
        <v>129</v>
      </c>
      <c r="C17" s="1">
        <v>5</v>
      </c>
      <c r="D17" s="4">
        <v>2285669.64</v>
      </c>
      <c r="E17" s="4">
        <v>1942819.19</v>
      </c>
      <c r="F17" s="4">
        <f>D17-E17</f>
        <v>342850.45000000019</v>
      </c>
      <c r="G17">
        <f>F17*0.7+D17*0.3</f>
        <v>925696.20700000017</v>
      </c>
      <c r="H17">
        <f>SUMIF(A:A,A17,G:G)</f>
        <v>50096506.616999969</v>
      </c>
      <c r="I17">
        <f>COUNTIFS(A:A, A17,G:G, "&gt;="&amp;G17)</f>
        <v>16</v>
      </c>
      <c r="J17">
        <f>SUMIFS(G:G,A:A,A17,I:I, "&lt;="&amp;I17)</f>
        <v>28488290.786999993</v>
      </c>
      <c r="K17" s="14">
        <f>J17/H17</f>
        <v>0.56866821083553665</v>
      </c>
      <c r="L17" s="14" t="str">
        <f>IF(K17&lt;=0.7,"А",IF(K17&lt;=0.9,"B","C"))</f>
        <v>А</v>
      </c>
      <c r="N17" s="8" t="s">
        <v>239</v>
      </c>
    </row>
    <row r="18" spans="1:14" x14ac:dyDescent="0.2">
      <c r="A18" s="2" t="s">
        <v>0</v>
      </c>
      <c r="B18" t="s">
        <v>161</v>
      </c>
      <c r="C18" s="1">
        <v>9</v>
      </c>
      <c r="D18" s="4">
        <v>2410633.89</v>
      </c>
      <c r="E18" s="4">
        <v>2224156.59</v>
      </c>
      <c r="F18" s="4">
        <f>D18-E18</f>
        <v>186477.30000000028</v>
      </c>
      <c r="G18">
        <f>F18*0.7+D18*0.3</f>
        <v>853724.27700000023</v>
      </c>
      <c r="H18">
        <f>SUMIF(A:A,A18,G:G)</f>
        <v>50096506.616999969</v>
      </c>
      <c r="I18">
        <f>COUNTIFS(A:A, A18,G:G, "&gt;="&amp;G18)</f>
        <v>17</v>
      </c>
      <c r="J18">
        <f>SUMIFS(G:G,A:A,A18,I:I, "&lt;="&amp;I18)</f>
        <v>29342015.063999992</v>
      </c>
      <c r="K18" s="14">
        <f>J18/H18</f>
        <v>0.58570980384574245</v>
      </c>
      <c r="L18" s="14" t="str">
        <f>IF(K18&lt;=0.7,"А",IF(K18&lt;=0.9,"B","C"))</f>
        <v>А</v>
      </c>
      <c r="N18" s="5"/>
    </row>
    <row r="19" spans="1:14" x14ac:dyDescent="0.2">
      <c r="A19" s="2" t="s">
        <v>0</v>
      </c>
      <c r="B19" t="s">
        <v>155</v>
      </c>
      <c r="C19" s="1">
        <v>3</v>
      </c>
      <c r="D19" s="4">
        <v>1687473.21</v>
      </c>
      <c r="E19" s="4">
        <v>1282699.4099999999</v>
      </c>
      <c r="F19" s="4">
        <f>D19-E19</f>
        <v>404773.80000000005</v>
      </c>
      <c r="G19">
        <f>F19*0.7+D19*0.3</f>
        <v>789583.62300000002</v>
      </c>
      <c r="H19">
        <f>SUMIF(A:A,A19,G:G)</f>
        <v>50096506.616999969</v>
      </c>
      <c r="I19">
        <f>COUNTIFS(A:A, A19,G:G, "&gt;="&amp;G19)</f>
        <v>18</v>
      </c>
      <c r="J19">
        <f>SUMIFS(G:G,A:A,A19,I:I, "&lt;="&amp;I19)</f>
        <v>30131598.686999992</v>
      </c>
      <c r="K19" s="14">
        <f>J19/H19</f>
        <v>0.60147105500516085</v>
      </c>
      <c r="L19" s="14" t="str">
        <f>IF(K19&lt;=0.7,"А",IF(K19&lt;=0.9,"B","C"))</f>
        <v>А</v>
      </c>
      <c r="N19" s="5" t="s">
        <v>240</v>
      </c>
    </row>
    <row r="20" spans="1:14" x14ac:dyDescent="0.2">
      <c r="A20" s="2" t="s">
        <v>0</v>
      </c>
      <c r="B20" t="s">
        <v>156</v>
      </c>
      <c r="C20" s="1">
        <v>3</v>
      </c>
      <c r="D20" s="4">
        <v>1607116.08</v>
      </c>
      <c r="E20" s="4">
        <v>1203736.6399999999</v>
      </c>
      <c r="F20" s="4">
        <f>D20-E20</f>
        <v>403379.44000000018</v>
      </c>
      <c r="G20">
        <f>F20*0.7+D20*0.3</f>
        <v>764500.43200000015</v>
      </c>
      <c r="H20">
        <f>SUMIF(A:A,A20,G:G)</f>
        <v>50096506.616999969</v>
      </c>
      <c r="I20">
        <f>COUNTIFS(A:A, A20,G:G, "&gt;="&amp;G20)</f>
        <v>19</v>
      </c>
      <c r="J20">
        <f>SUMIFS(G:G,A:A,A20,I:I, "&lt;="&amp;I20)</f>
        <v>30896099.118999992</v>
      </c>
      <c r="K20" s="14">
        <f>J20/H20</f>
        <v>0.61673160875683841</v>
      </c>
      <c r="L20" s="14" t="str">
        <f>IF(K20&lt;=0.7,"А",IF(K20&lt;=0.9,"B","C"))</f>
        <v>А</v>
      </c>
      <c r="N20" s="5" t="s">
        <v>241</v>
      </c>
    </row>
    <row r="21" spans="1:14" x14ac:dyDescent="0.2">
      <c r="A21" s="2" t="s">
        <v>0</v>
      </c>
      <c r="B21" t="s">
        <v>164</v>
      </c>
      <c r="C21" s="1">
        <v>1</v>
      </c>
      <c r="D21" s="4">
        <v>1785705.36</v>
      </c>
      <c r="E21" s="4">
        <v>1517849.56</v>
      </c>
      <c r="F21" s="4">
        <f>D21-E21</f>
        <v>267855.80000000005</v>
      </c>
      <c r="G21">
        <f>F21*0.7+D21*0.3</f>
        <v>723210.66800000006</v>
      </c>
      <c r="H21">
        <f>SUMIF(A:A,A21,G:G)</f>
        <v>50096506.616999969</v>
      </c>
      <c r="I21">
        <f>COUNTIFS(A:A, A21,G:G, "&gt;="&amp;G21)</f>
        <v>20</v>
      </c>
      <c r="J21">
        <f>SUMIFS(G:G,A:A,A21,I:I, "&lt;="&amp;I21)</f>
        <v>31619309.786999993</v>
      </c>
      <c r="K21" s="14">
        <f>J21/H21</f>
        <v>0.63116795805219195</v>
      </c>
      <c r="L21" s="14" t="str">
        <f>IF(K21&lt;=0.7,"А",IF(K21&lt;=0.9,"B","C"))</f>
        <v>А</v>
      </c>
      <c r="N21" s="5" t="s">
        <v>249</v>
      </c>
    </row>
    <row r="22" spans="1:14" x14ac:dyDescent="0.2">
      <c r="A22" s="2" t="s">
        <v>0</v>
      </c>
      <c r="B22" t="s">
        <v>169</v>
      </c>
      <c r="C22" s="1">
        <v>4</v>
      </c>
      <c r="D22" s="4">
        <v>1785678.57</v>
      </c>
      <c r="E22" s="4">
        <v>1517826.78</v>
      </c>
      <c r="F22" s="4">
        <f>D22-E22</f>
        <v>267851.79000000004</v>
      </c>
      <c r="G22">
        <f>F22*0.7+D22*0.3</f>
        <v>723199.82400000002</v>
      </c>
      <c r="H22">
        <f>SUMIF(A:A,A22,G:G)</f>
        <v>50096506.616999969</v>
      </c>
      <c r="I22">
        <f>COUNTIFS(A:A, A22,G:G, "&gt;="&amp;G22)</f>
        <v>21</v>
      </c>
      <c r="J22">
        <f>SUMIFS(G:G,A:A,A22,I:I, "&lt;="&amp;I22)</f>
        <v>32342509.610999994</v>
      </c>
      <c r="K22" s="14">
        <f>J22/H22</f>
        <v>0.6456040908853462</v>
      </c>
      <c r="L22" s="14" t="str">
        <f>IF(K22&lt;=0.7,"А",IF(K22&lt;=0.9,"B","C"))</f>
        <v>А</v>
      </c>
    </row>
    <row r="23" spans="1:14" ht="19" x14ac:dyDescent="0.2">
      <c r="A23" s="2" t="s">
        <v>0</v>
      </c>
      <c r="B23" t="s">
        <v>119</v>
      </c>
      <c r="C23" s="1">
        <v>2</v>
      </c>
      <c r="D23" s="4">
        <v>1517482.14</v>
      </c>
      <c r="E23" s="4">
        <v>1289859.82</v>
      </c>
      <c r="F23" s="4">
        <f>D23-E23</f>
        <v>227622.31999999983</v>
      </c>
      <c r="G23">
        <f>F23*0.7+D23*0.3</f>
        <v>614580.26599999983</v>
      </c>
      <c r="H23">
        <f>SUMIF(A:A,A23,G:G)</f>
        <v>50096506.616999969</v>
      </c>
      <c r="I23">
        <f>COUNTIFS(A:A, A23,G:G, "&gt;="&amp;G23)</f>
        <v>22</v>
      </c>
      <c r="J23">
        <f>SUMIFS(G:G,A:A,A23,I:I, "&lt;="&amp;I23)</f>
        <v>32957089.876999993</v>
      </c>
      <c r="K23" s="14">
        <f>J23/H23</f>
        <v>0.65787201748347435</v>
      </c>
      <c r="L23" s="14" t="str">
        <f>IF(K23&lt;=0.7,"А",IF(K23&lt;=0.9,"B","C"))</f>
        <v>А</v>
      </c>
      <c r="N23" s="6" t="s">
        <v>242</v>
      </c>
    </row>
    <row r="24" spans="1:14" x14ac:dyDescent="0.2">
      <c r="A24" s="2" t="s">
        <v>0</v>
      </c>
      <c r="B24" t="s">
        <v>93</v>
      </c>
      <c r="C24" s="1">
        <v>3</v>
      </c>
      <c r="D24" s="4">
        <v>1473187.5</v>
      </c>
      <c r="E24" s="4">
        <v>1237757.42</v>
      </c>
      <c r="F24" s="4">
        <f>D24-E24</f>
        <v>235430.08000000007</v>
      </c>
      <c r="G24">
        <f>F24*0.7+D24*0.3</f>
        <v>606757.3060000001</v>
      </c>
      <c r="H24">
        <f>SUMIF(A:A,A24,G:G)</f>
        <v>50096506.616999969</v>
      </c>
      <c r="I24">
        <f>COUNTIFS(A:A, A24,G:G, "&gt;="&amp;G24)</f>
        <v>23</v>
      </c>
      <c r="J24">
        <f>SUMIFS(G:G,A:A,A24,I:I, "&lt;="&amp;I24)</f>
        <v>33563847.182999991</v>
      </c>
      <c r="K24" s="14">
        <f>J24/H24</f>
        <v>0.66998378628681243</v>
      </c>
      <c r="L24" s="14" t="str">
        <f>IF(K24&lt;=0.7,"А",IF(K24&lt;=0.9,"B","C"))</f>
        <v>А</v>
      </c>
      <c r="N24" s="5"/>
    </row>
    <row r="25" spans="1:14" x14ac:dyDescent="0.2">
      <c r="A25" s="2" t="s">
        <v>0</v>
      </c>
      <c r="B25" t="s">
        <v>118</v>
      </c>
      <c r="C25" s="1">
        <v>7</v>
      </c>
      <c r="D25" s="4">
        <v>1343687.52</v>
      </c>
      <c r="E25" s="4">
        <v>1141252.31</v>
      </c>
      <c r="F25" s="4">
        <f>D25-E25</f>
        <v>202435.20999999996</v>
      </c>
      <c r="G25">
        <f>F25*0.7+D25*0.3</f>
        <v>544810.90299999993</v>
      </c>
      <c r="H25">
        <f>SUMIF(A:A,A25,G:G)</f>
        <v>50096506.616999969</v>
      </c>
      <c r="I25">
        <f>COUNTIFS(A:A, A25,G:G, "&gt;="&amp;G25)</f>
        <v>24</v>
      </c>
      <c r="J25">
        <f>SUMIFS(G:G,A:A,A25,I:I, "&lt;="&amp;I25)</f>
        <v>34108658.085999988</v>
      </c>
      <c r="K25" s="14">
        <f>J25/H25</f>
        <v>0.68085901371864133</v>
      </c>
      <c r="L25" s="14" t="str">
        <f>IF(K25&lt;=0.7,"А",IF(K25&lt;=0.9,"B","C"))</f>
        <v>А</v>
      </c>
      <c r="N25" s="5" t="s">
        <v>243</v>
      </c>
    </row>
    <row r="26" spans="1:14" x14ac:dyDescent="0.2">
      <c r="A26" s="2" t="s">
        <v>0</v>
      </c>
      <c r="B26" t="s">
        <v>168</v>
      </c>
      <c r="C26" s="1">
        <v>2</v>
      </c>
      <c r="D26" s="4">
        <v>1339267.8600000001</v>
      </c>
      <c r="E26" s="4">
        <v>1138377.68</v>
      </c>
      <c r="F26" s="4">
        <f>D26-E26</f>
        <v>200890.18000000017</v>
      </c>
      <c r="G26">
        <f>F26*0.7+D26*0.3</f>
        <v>542403.48400000017</v>
      </c>
      <c r="H26">
        <f>SUMIF(A:A,A26,G:G)</f>
        <v>50096506.616999969</v>
      </c>
      <c r="I26">
        <f>COUNTIFS(A:A, A26,G:G, "&gt;="&amp;G26)</f>
        <v>25</v>
      </c>
      <c r="J26">
        <f>SUMIFS(G:G,A:A,A26,I:I, "&lt;="&amp;I26)</f>
        <v>34651061.569999985</v>
      </c>
      <c r="K26" s="14">
        <f>J26/H26</f>
        <v>0.6916861855241887</v>
      </c>
      <c r="L26" s="14" t="str">
        <f>IF(K26&lt;=0.7,"А",IF(K26&lt;=0.9,"B","C"))</f>
        <v>А</v>
      </c>
      <c r="N26" s="5" t="s">
        <v>244</v>
      </c>
    </row>
    <row r="27" spans="1:14" x14ac:dyDescent="0.2">
      <c r="A27" s="13" t="s">
        <v>0</v>
      </c>
      <c r="B27" t="s">
        <v>92</v>
      </c>
      <c r="C27" s="1">
        <v>4</v>
      </c>
      <c r="D27" s="4">
        <v>1258892.8500000001</v>
      </c>
      <c r="E27" s="4">
        <v>1070058.92</v>
      </c>
      <c r="F27" s="4">
        <f>D27-E27</f>
        <v>188833.93000000017</v>
      </c>
      <c r="G27">
        <f>F27*0.7+D27*0.3</f>
        <v>509851.60600000015</v>
      </c>
      <c r="H27">
        <f>SUMIF(A:A,A27,G:G)</f>
        <v>50096506.616999969</v>
      </c>
      <c r="I27">
        <f>COUNTIFS(A:A, A27,G:G, "&gt;="&amp;G27)</f>
        <v>26</v>
      </c>
      <c r="J27">
        <f>SUMIFS(G:G,A:A,A27,I:I, "&lt;="&amp;I27)</f>
        <v>35160913.175999984</v>
      </c>
      <c r="K27" s="14">
        <f>J27/H27</f>
        <v>0.70186357393767507</v>
      </c>
      <c r="L27" s="14" t="str">
        <f>IF(K27&lt;=0.7,"А",IF(K27&lt;=0.9,"B","C"))</f>
        <v>B</v>
      </c>
      <c r="N27" s="5" t="s">
        <v>245</v>
      </c>
    </row>
    <row r="28" spans="1:14" x14ac:dyDescent="0.2">
      <c r="A28" s="2" t="s">
        <v>0</v>
      </c>
      <c r="B28" t="s">
        <v>110</v>
      </c>
      <c r="C28" s="1">
        <v>2</v>
      </c>
      <c r="D28" s="4">
        <v>1249982.1399999999</v>
      </c>
      <c r="E28" s="4">
        <v>1070956.8999999999</v>
      </c>
      <c r="F28" s="4">
        <f>D28-E28</f>
        <v>179025.24</v>
      </c>
      <c r="G28">
        <f>F28*0.7+D28*0.3</f>
        <v>500312.30999999994</v>
      </c>
      <c r="H28">
        <f>SUMIF(A:A,A28,G:G)</f>
        <v>50096506.616999969</v>
      </c>
      <c r="I28">
        <f>COUNTIFS(A:A, A28,G:G, "&gt;="&amp;G28)</f>
        <v>27</v>
      </c>
      <c r="J28">
        <f>SUMIFS(G:G,A:A,A28,I:I, "&lt;="&amp;I28)</f>
        <v>35661225.485999987</v>
      </c>
      <c r="K28" s="14">
        <f>J28/H28</f>
        <v>0.71185054396384895</v>
      </c>
      <c r="L28" s="14" t="str">
        <f>IF(K28&lt;=0.7,"А",IF(K28&lt;=0.9,"B","C"))</f>
        <v>B</v>
      </c>
    </row>
    <row r="29" spans="1:14" x14ac:dyDescent="0.2">
      <c r="A29" s="2" t="s">
        <v>0</v>
      </c>
      <c r="B29" t="s">
        <v>158</v>
      </c>
      <c r="C29" s="1">
        <v>5</v>
      </c>
      <c r="D29" s="4">
        <v>1339241.05</v>
      </c>
      <c r="E29" s="4">
        <v>1214592.75</v>
      </c>
      <c r="F29" s="4">
        <f>D29-E29</f>
        <v>124648.30000000005</v>
      </c>
      <c r="G29">
        <f>F29*0.7+D29*0.3</f>
        <v>489026.125</v>
      </c>
      <c r="H29">
        <f>SUMIF(A:A,A29,G:G)</f>
        <v>50096506.616999969</v>
      </c>
      <c r="I29">
        <f>COUNTIFS(A:A, A29,G:G, "&gt;="&amp;G29)</f>
        <v>28</v>
      </c>
      <c r="J29">
        <f>SUMIFS(G:G,A:A,A29,I:I, "&lt;="&amp;I29)</f>
        <v>36150251.610999987</v>
      </c>
      <c r="K29" s="14">
        <f>J29/H29</f>
        <v>0.72161222512734258</v>
      </c>
      <c r="L29" s="14" t="str">
        <f>IF(K29&lt;=0.7,"А",IF(K29&lt;=0.9,"B","C"))</f>
        <v>B</v>
      </c>
    </row>
    <row r="30" spans="1:14" x14ac:dyDescent="0.2">
      <c r="A30" s="2" t="s">
        <v>0</v>
      </c>
      <c r="B30" t="s">
        <v>71</v>
      </c>
      <c r="C30" s="1">
        <v>2</v>
      </c>
      <c r="D30" s="4">
        <v>1169625</v>
      </c>
      <c r="E30" s="4">
        <v>994181.25</v>
      </c>
      <c r="F30" s="4">
        <f>D30-E30</f>
        <v>175443.75</v>
      </c>
      <c r="G30">
        <f>F30*0.7+D30*0.3</f>
        <v>473698.125</v>
      </c>
      <c r="H30">
        <f>SUMIF(A:A,A30,G:G)</f>
        <v>50096506.616999969</v>
      </c>
      <c r="I30">
        <f>COUNTIFS(A:A, A30,G:G, "&gt;="&amp;G30)</f>
        <v>29</v>
      </c>
      <c r="J30">
        <f>SUMIFS(G:G,A:A,A30,I:I, "&lt;="&amp;I30)</f>
        <v>36623949.735999987</v>
      </c>
      <c r="K30" s="14">
        <f>J30/H30</f>
        <v>0.73106793685234439</v>
      </c>
      <c r="L30" s="14" t="str">
        <f>IF(K30&lt;=0.7,"А",IF(K30&lt;=0.9,"B","C"))</f>
        <v>B</v>
      </c>
    </row>
    <row r="31" spans="1:14" x14ac:dyDescent="0.2">
      <c r="A31" s="2" t="s">
        <v>0</v>
      </c>
      <c r="B31" t="s">
        <v>72</v>
      </c>
      <c r="C31" s="1">
        <v>2</v>
      </c>
      <c r="D31" s="4">
        <v>1142839.28</v>
      </c>
      <c r="E31" s="4">
        <v>971413.38</v>
      </c>
      <c r="F31" s="4">
        <f>D31-E31</f>
        <v>171425.90000000002</v>
      </c>
      <c r="G31">
        <f>F31*0.7+D31*0.3</f>
        <v>462849.91399999999</v>
      </c>
      <c r="H31">
        <f>SUMIF(A:A,A31,G:G)</f>
        <v>50096506.616999969</v>
      </c>
      <c r="I31">
        <f>COUNTIFS(A:A, A31,G:G, "&gt;="&amp;G31)</f>
        <v>30</v>
      </c>
      <c r="J31">
        <f>SUMIFS(G:G,A:A,A31,I:I, "&lt;="&amp;I31)</f>
        <v>37086799.649999984</v>
      </c>
      <c r="K31" s="14">
        <f>J31/H31</f>
        <v>0.74030710232028007</v>
      </c>
      <c r="L31" s="14" t="str">
        <f>IF(K31&lt;=0.7,"А",IF(K31&lt;=0.9,"B","C"))</f>
        <v>B</v>
      </c>
    </row>
    <row r="32" spans="1:14" x14ac:dyDescent="0.2">
      <c r="A32" s="2" t="s">
        <v>0</v>
      </c>
      <c r="B32" t="s">
        <v>120</v>
      </c>
      <c r="C32" s="1">
        <v>3</v>
      </c>
      <c r="D32" s="4">
        <v>1089719.6499999999</v>
      </c>
      <c r="E32" s="4">
        <v>901064.73</v>
      </c>
      <c r="F32" s="4">
        <f>D32-E32</f>
        <v>188654.91999999993</v>
      </c>
      <c r="G32">
        <f>F32*0.7+D32*0.3</f>
        <v>458974.33899999992</v>
      </c>
      <c r="H32">
        <f>SUMIF(A:A,A32,G:G)</f>
        <v>50096506.616999969</v>
      </c>
      <c r="I32">
        <f>COUNTIFS(A:A, A32,G:G, "&gt;="&amp;G32)</f>
        <v>31</v>
      </c>
      <c r="J32">
        <f>SUMIFS(G:G,A:A,A32,I:I, "&lt;="&amp;I32)</f>
        <v>37545773.988999985</v>
      </c>
      <c r="K32" s="14">
        <f>J32/H32</f>
        <v>0.74946890560746282</v>
      </c>
      <c r="L32" s="14" t="str">
        <f>IF(K32&lt;=0.7,"А",IF(K32&lt;=0.9,"B","C"))</f>
        <v>B</v>
      </c>
    </row>
    <row r="33" spans="1:12" x14ac:dyDescent="0.2">
      <c r="A33" s="2" t="s">
        <v>0</v>
      </c>
      <c r="B33" t="s">
        <v>70</v>
      </c>
      <c r="C33" s="1">
        <v>2</v>
      </c>
      <c r="D33" s="4">
        <v>1124982.1399999999</v>
      </c>
      <c r="E33" s="4">
        <v>956234.82</v>
      </c>
      <c r="F33" s="4">
        <f>D33-E33</f>
        <v>168747.31999999995</v>
      </c>
      <c r="G33">
        <f>F33*0.7+D33*0.3</f>
        <v>455617.76599999989</v>
      </c>
      <c r="H33">
        <f>SUMIF(A:A,A33,G:G)</f>
        <v>50096506.616999969</v>
      </c>
      <c r="I33">
        <f>COUNTIFS(A:A, A33,G:G, "&gt;="&amp;G33)</f>
        <v>32</v>
      </c>
      <c r="J33">
        <f>SUMIFS(G:G,A:A,A33,I:I, "&lt;="&amp;I33)</f>
        <v>38001391.754999988</v>
      </c>
      <c r="K33" s="14">
        <f>J33/H33</f>
        <v>0.75856370675763707</v>
      </c>
      <c r="L33" s="14" t="str">
        <f>IF(K33&lt;=0.7,"А",IF(K33&lt;=0.9,"B","C"))</f>
        <v>B</v>
      </c>
    </row>
    <row r="34" spans="1:12" x14ac:dyDescent="0.2">
      <c r="A34" s="2" t="s">
        <v>0</v>
      </c>
      <c r="B34" t="s">
        <v>166</v>
      </c>
      <c r="C34" s="1">
        <v>1</v>
      </c>
      <c r="D34" s="4">
        <v>1071330.3600000001</v>
      </c>
      <c r="E34" s="4">
        <v>917917.96</v>
      </c>
      <c r="F34" s="4">
        <f>D34-E34</f>
        <v>153412.40000000014</v>
      </c>
      <c r="G34">
        <f>F34*0.7+D34*0.3</f>
        <v>428787.78800000012</v>
      </c>
      <c r="H34">
        <f>SUMIF(A:A,A34,G:G)</f>
        <v>50096506.616999969</v>
      </c>
      <c r="I34">
        <f>COUNTIFS(A:A, A34,G:G, "&gt;="&amp;G34)</f>
        <v>33</v>
      </c>
      <c r="J34">
        <f>SUMIFS(G:G,A:A,A34,I:I, "&lt;="&amp;I34)</f>
        <v>38430179.54299999</v>
      </c>
      <c r="K34" s="14">
        <f>J34/H34</f>
        <v>0.76712294206077281</v>
      </c>
      <c r="L34" s="14" t="str">
        <f>IF(K34&lt;=0.7,"А",IF(K34&lt;=0.9,"B","C"))</f>
        <v>B</v>
      </c>
    </row>
    <row r="35" spans="1:12" x14ac:dyDescent="0.2">
      <c r="A35" s="2" t="s">
        <v>0</v>
      </c>
      <c r="B35" t="s">
        <v>157</v>
      </c>
      <c r="C35" s="1">
        <v>2</v>
      </c>
      <c r="D35" s="4">
        <v>982125</v>
      </c>
      <c r="E35" s="4">
        <v>791800.96</v>
      </c>
      <c r="F35" s="4">
        <f>D35-E35</f>
        <v>190324.04000000004</v>
      </c>
      <c r="G35">
        <f>F35*0.7+D35*0.3</f>
        <v>427864.32799999998</v>
      </c>
      <c r="H35">
        <f>SUMIF(A:A,A35,G:G)</f>
        <v>50096506.616999969</v>
      </c>
      <c r="I35">
        <f>COUNTIFS(A:A, A35,G:G, "&gt;="&amp;G35)</f>
        <v>34</v>
      </c>
      <c r="J35">
        <f>SUMIFS(G:G,A:A,A35,I:I, "&lt;="&amp;I35)</f>
        <v>38858043.870999992</v>
      </c>
      <c r="K35" s="14">
        <f>J35/H35</f>
        <v>0.77566374374323599</v>
      </c>
      <c r="L35" s="14" t="str">
        <f>IF(K35&lt;=0.7,"А",IF(K35&lt;=0.9,"B","C"))</f>
        <v>B</v>
      </c>
    </row>
    <row r="36" spans="1:12" x14ac:dyDescent="0.2">
      <c r="A36" s="2" t="s">
        <v>0</v>
      </c>
      <c r="B36" t="s">
        <v>132</v>
      </c>
      <c r="C36" s="1">
        <v>4</v>
      </c>
      <c r="D36" s="4">
        <v>892821.44</v>
      </c>
      <c r="E36" s="4">
        <v>702244.17</v>
      </c>
      <c r="F36" s="4">
        <f>D36-E36</f>
        <v>190577.2699999999</v>
      </c>
      <c r="G36">
        <f>F36*0.7+D36*0.3</f>
        <v>401250.52099999989</v>
      </c>
      <c r="H36">
        <f>SUMIF(A:A,A36,G:G)</f>
        <v>50096506.616999969</v>
      </c>
      <c r="I36">
        <f>COUNTIFS(A:A, A36,G:G, "&gt;="&amp;G36)</f>
        <v>35</v>
      </c>
      <c r="J36">
        <f>SUMIFS(G:G,A:A,A36,I:I, "&lt;="&amp;I36)</f>
        <v>39259294.39199999</v>
      </c>
      <c r="K36" s="14">
        <f>J36/H36</f>
        <v>0.78367329466996338</v>
      </c>
      <c r="L36" s="14" t="str">
        <f>IF(K36&lt;=0.7,"А",IF(K36&lt;=0.9,"B","C"))</f>
        <v>B</v>
      </c>
    </row>
    <row r="37" spans="1:12" x14ac:dyDescent="0.2">
      <c r="A37" s="2" t="s">
        <v>0</v>
      </c>
      <c r="B37" t="s">
        <v>112</v>
      </c>
      <c r="C37" s="1">
        <v>6</v>
      </c>
      <c r="D37" s="4">
        <v>964232.16</v>
      </c>
      <c r="E37" s="4">
        <v>819597.36</v>
      </c>
      <c r="F37" s="4">
        <f>D37-E37</f>
        <v>144634.80000000005</v>
      </c>
      <c r="G37">
        <f>F37*0.7+D37*0.3</f>
        <v>390514.00800000003</v>
      </c>
      <c r="H37">
        <f>SUMIF(A:A,A37,G:G)</f>
        <v>50096506.616999969</v>
      </c>
      <c r="I37">
        <f>COUNTIFS(A:A, A37,G:G, "&gt;="&amp;G37)</f>
        <v>36</v>
      </c>
      <c r="J37">
        <f>SUMIFS(G:G,A:A,A37,I:I, "&lt;="&amp;I37)</f>
        <v>39649808.399999991</v>
      </c>
      <c r="K37" s="14">
        <f>J37/H37</f>
        <v>0.79146852899609277</v>
      </c>
      <c r="L37" s="14" t="str">
        <f>IF(K37&lt;=0.7,"А",IF(K37&lt;=0.9,"B","C"))</f>
        <v>B</v>
      </c>
    </row>
    <row r="38" spans="1:12" x14ac:dyDescent="0.2">
      <c r="A38" s="13" t="s">
        <v>0</v>
      </c>
      <c r="B38" t="s">
        <v>104</v>
      </c>
      <c r="C38" s="1">
        <v>10</v>
      </c>
      <c r="D38" s="4">
        <v>1502589.31</v>
      </c>
      <c r="E38" s="4">
        <v>1597978.16</v>
      </c>
      <c r="F38" s="4">
        <f>D38-E38</f>
        <v>-95388.84999999986</v>
      </c>
      <c r="G38">
        <f>F38*0.7+D38*0.3</f>
        <v>384004.59800000011</v>
      </c>
      <c r="H38">
        <f>SUMIF(A:A,A38,G:G)</f>
        <v>50096506.616999969</v>
      </c>
      <c r="I38">
        <f>COUNTIFS(A:A, A38,G:G, "&gt;="&amp;G38)</f>
        <v>37</v>
      </c>
      <c r="J38">
        <f>SUMIFS(G:G,A:A,A38,I:I, "&lt;="&amp;I38)</f>
        <v>40033812.997999988</v>
      </c>
      <c r="K38" s="14">
        <f>J38/H38</f>
        <v>0.79913382591860682</v>
      </c>
      <c r="L38" s="14" t="str">
        <f>IF(K38&lt;=0.7,"А",IF(K38&lt;=0.9,"B","C"))</f>
        <v>B</v>
      </c>
    </row>
    <row r="39" spans="1:12" x14ac:dyDescent="0.2">
      <c r="A39" s="2" t="s">
        <v>0</v>
      </c>
      <c r="B39" t="s">
        <v>137</v>
      </c>
      <c r="C39" s="1">
        <v>3</v>
      </c>
      <c r="D39" s="4">
        <v>1071401.79</v>
      </c>
      <c r="E39" s="4">
        <v>1013892.9</v>
      </c>
      <c r="F39" s="4">
        <f>D39-E39</f>
        <v>57508.890000000014</v>
      </c>
      <c r="G39">
        <f>F39*0.7+D39*0.3</f>
        <v>361676.76</v>
      </c>
      <c r="H39">
        <f>SUMIF(A:A,A39,G:G)</f>
        <v>50096506.616999969</v>
      </c>
      <c r="I39">
        <f>COUNTIFS(A:A, A39,G:G, "&gt;="&amp;G39)</f>
        <v>38</v>
      </c>
      <c r="J39">
        <f>SUMIFS(G:G,A:A,A39,I:I, "&lt;="&amp;I39)</f>
        <v>40395489.757999986</v>
      </c>
      <c r="K39" s="14">
        <f>J39/H39</f>
        <v>0.80635342633436247</v>
      </c>
      <c r="L39" s="14" t="str">
        <f>IF(K39&lt;=0.7,"А",IF(K39&lt;=0.9,"B","C"))</f>
        <v>B</v>
      </c>
    </row>
    <row r="40" spans="1:12" x14ac:dyDescent="0.2">
      <c r="A40" s="2" t="s">
        <v>0</v>
      </c>
      <c r="B40" t="s">
        <v>105</v>
      </c>
      <c r="C40" s="1">
        <v>4</v>
      </c>
      <c r="D40" s="4">
        <v>886571.42</v>
      </c>
      <c r="E40" s="4">
        <v>754066.08</v>
      </c>
      <c r="F40" s="4">
        <f>D40-E40</f>
        <v>132505.34000000008</v>
      </c>
      <c r="G40">
        <f>F40*0.7+D40*0.3</f>
        <v>358725.16400000005</v>
      </c>
      <c r="H40">
        <f>SUMIF(A:A,A40,G:G)</f>
        <v>50096506.616999969</v>
      </c>
      <c r="I40">
        <f>COUNTIFS(A:A, A40,G:G, "&gt;="&amp;G40)</f>
        <v>39</v>
      </c>
      <c r="J40">
        <f>SUMIFS(G:G,A:A,A40,I:I, "&lt;="&amp;I40)</f>
        <v>40754214.921999983</v>
      </c>
      <c r="K40" s="14">
        <f>J40/H40</f>
        <v>0.81351410855004147</v>
      </c>
      <c r="L40" s="14" t="str">
        <f>IF(K40&lt;=0.7,"А",IF(K40&lt;=0.9,"B","C"))</f>
        <v>B</v>
      </c>
    </row>
    <row r="41" spans="1:12" x14ac:dyDescent="0.2">
      <c r="A41" s="2" t="s">
        <v>0</v>
      </c>
      <c r="B41" t="s">
        <v>153</v>
      </c>
      <c r="C41" s="1">
        <v>4</v>
      </c>
      <c r="D41" s="4">
        <v>1035678.56</v>
      </c>
      <c r="E41" s="4">
        <v>1013822.29</v>
      </c>
      <c r="F41" s="4">
        <f>D41-E41</f>
        <v>21856.270000000019</v>
      </c>
      <c r="G41">
        <f>F41*0.7+D41*0.3</f>
        <v>326002.95700000005</v>
      </c>
      <c r="H41">
        <f>SUMIF(A:A,A41,G:G)</f>
        <v>50096506.616999969</v>
      </c>
      <c r="I41">
        <f>COUNTIFS(A:A, A41,G:G, "&gt;="&amp;G41)</f>
        <v>40</v>
      </c>
      <c r="J41">
        <f>SUMIFS(G:G,A:A,A41,I:I, "&lt;="&amp;I41)</f>
        <v>41080217.878999986</v>
      </c>
      <c r="K41" s="14">
        <f>J41/H41</f>
        <v>0.82002160735614338</v>
      </c>
      <c r="L41" s="14" t="str">
        <f>IF(K41&lt;=0.7,"А",IF(K41&lt;=0.9,"B","C"))</f>
        <v>B</v>
      </c>
    </row>
    <row r="42" spans="1:12" x14ac:dyDescent="0.2">
      <c r="A42" s="2" t="s">
        <v>0</v>
      </c>
      <c r="B42" t="s">
        <v>84</v>
      </c>
      <c r="C42" s="1">
        <v>4</v>
      </c>
      <c r="D42" s="4">
        <v>794607.13</v>
      </c>
      <c r="E42" s="4">
        <v>689974.72</v>
      </c>
      <c r="F42" s="4">
        <f>D42-E42</f>
        <v>104632.41000000003</v>
      </c>
      <c r="G42">
        <f>F42*0.7+D42*0.3</f>
        <v>311624.826</v>
      </c>
      <c r="H42">
        <f>SUMIF(A:A,A42,G:G)</f>
        <v>50096506.616999969</v>
      </c>
      <c r="I42">
        <f>COUNTIFS(A:A, A42,G:G, "&gt;="&amp;G42)</f>
        <v>41</v>
      </c>
      <c r="J42">
        <f>SUMIFS(G:G,A:A,A42,I:I, "&lt;="&amp;I42)</f>
        <v>41391842.704999983</v>
      </c>
      <c r="K42" s="14">
        <f>J42/H42</f>
        <v>0.82624209750693267</v>
      </c>
      <c r="L42" s="14" t="str">
        <f>IF(K42&lt;=0.7,"А",IF(K42&lt;=0.9,"B","C"))</f>
        <v>B</v>
      </c>
    </row>
    <row r="43" spans="1:12" x14ac:dyDescent="0.2">
      <c r="A43" s="2" t="s">
        <v>0</v>
      </c>
      <c r="B43" t="s">
        <v>77</v>
      </c>
      <c r="C43" s="1">
        <v>3</v>
      </c>
      <c r="D43" s="4">
        <v>763812.49</v>
      </c>
      <c r="E43" s="4">
        <v>649240.61</v>
      </c>
      <c r="F43" s="4">
        <f>D43-E43</f>
        <v>114571.88</v>
      </c>
      <c r="G43">
        <f>F43*0.7+D43*0.3</f>
        <v>309344.06299999997</v>
      </c>
      <c r="H43">
        <f>SUMIF(A:A,A43,G:G)</f>
        <v>50096506.616999969</v>
      </c>
      <c r="I43">
        <f>COUNTIFS(A:A, A43,G:G, "&gt;="&amp;G43)</f>
        <v>42</v>
      </c>
      <c r="J43">
        <f>SUMIFS(G:G,A:A,A43,I:I, "&lt;="&amp;I43)</f>
        <v>41701186.767999984</v>
      </c>
      <c r="K43" s="14">
        <f>J43/H43</f>
        <v>0.83241706027160223</v>
      </c>
      <c r="L43" s="14" t="str">
        <f>IF(K43&lt;=0.7,"А",IF(K43&lt;=0.9,"B","C"))</f>
        <v>B</v>
      </c>
    </row>
    <row r="44" spans="1:12" x14ac:dyDescent="0.2">
      <c r="A44" s="2" t="s">
        <v>0</v>
      </c>
      <c r="B44" t="s">
        <v>89</v>
      </c>
      <c r="C44" s="1">
        <v>3</v>
      </c>
      <c r="D44" s="4">
        <v>1232116.07</v>
      </c>
      <c r="E44" s="4">
        <v>1326891.31</v>
      </c>
      <c r="F44" s="4">
        <f>D44-E44</f>
        <v>-94775.239999999991</v>
      </c>
      <c r="G44">
        <f>F44*0.7+D44*0.3</f>
        <v>303292.15299999999</v>
      </c>
      <c r="H44">
        <f>SUMIF(A:A,A44,G:G)</f>
        <v>50096506.616999969</v>
      </c>
      <c r="I44">
        <f>COUNTIFS(A:A, A44,G:G, "&gt;="&amp;G44)</f>
        <v>43</v>
      </c>
      <c r="J44">
        <f>SUMIFS(G:G,A:A,A44,I:I, "&lt;="&amp;I44)</f>
        <v>42004478.920999981</v>
      </c>
      <c r="K44" s="14">
        <f>J44/H44</f>
        <v>0.83847121800596769</v>
      </c>
      <c r="L44" s="14" t="str">
        <f>IF(K44&lt;=0.7,"А",IF(K44&lt;=0.9,"B","C"))</f>
        <v>B</v>
      </c>
    </row>
    <row r="45" spans="1:12" x14ac:dyDescent="0.2">
      <c r="A45" s="3" t="s">
        <v>0</v>
      </c>
      <c r="B45" t="s">
        <v>149</v>
      </c>
      <c r="C45" s="1">
        <v>11</v>
      </c>
      <c r="D45" s="4">
        <v>1274901.79</v>
      </c>
      <c r="E45" s="4">
        <v>1462256.36</v>
      </c>
      <c r="F45" s="4">
        <f>D45-E45</f>
        <v>-187354.57000000007</v>
      </c>
      <c r="G45">
        <f>F45*0.7+D45*0.3</f>
        <v>251322.33799999996</v>
      </c>
      <c r="H45">
        <f>SUMIF(A:A,A45,G:G)</f>
        <v>50096506.616999969</v>
      </c>
      <c r="I45">
        <f>COUNTIFS(A:A, A45,G:G, "&gt;="&amp;G45)</f>
        <v>44</v>
      </c>
      <c r="J45">
        <f>SUMIFS(G:G,A:A,A45,I:I, "&lt;="&amp;I45)</f>
        <v>42255801.258999981</v>
      </c>
      <c r="K45" s="14">
        <f>J45/H45</f>
        <v>0.84348798174802697</v>
      </c>
      <c r="L45" s="14" t="str">
        <f>IF(K45&lt;=0.7,"А",IF(K45&lt;=0.9,"B","C"))</f>
        <v>B</v>
      </c>
    </row>
    <row r="46" spans="1:12" x14ac:dyDescent="0.2">
      <c r="A46" s="2" t="s">
        <v>0</v>
      </c>
      <c r="B46" t="s">
        <v>90</v>
      </c>
      <c r="C46" s="1">
        <v>2</v>
      </c>
      <c r="D46" s="4">
        <v>996410.72</v>
      </c>
      <c r="E46" s="4">
        <v>1073050.6399999999</v>
      </c>
      <c r="F46" s="4">
        <f>D46-E46</f>
        <v>-76639.919999999925</v>
      </c>
      <c r="G46">
        <f>F46*0.7+D46*0.3</f>
        <v>245275.272</v>
      </c>
      <c r="H46">
        <f>SUMIF(A:A,A46,G:G)</f>
        <v>50096506.616999969</v>
      </c>
      <c r="I46">
        <f>COUNTIFS(A:A, A46,G:G, "&gt;="&amp;G46)</f>
        <v>45</v>
      </c>
      <c r="J46">
        <f>SUMIFS(G:G,A:A,A46,I:I, "&lt;="&amp;I46)</f>
        <v>42501076.530999981</v>
      </c>
      <c r="K46" s="14">
        <f>J46/H46</f>
        <v>0.84838403715315114</v>
      </c>
      <c r="L46" s="14" t="str">
        <f>IF(K46&lt;=0.7,"А",IF(K46&lt;=0.9,"B","C"))</f>
        <v>B</v>
      </c>
    </row>
    <row r="47" spans="1:12" x14ac:dyDescent="0.2">
      <c r="A47" s="2" t="s">
        <v>0</v>
      </c>
      <c r="B47" t="s">
        <v>142</v>
      </c>
      <c r="C47" s="1">
        <v>3</v>
      </c>
      <c r="D47" s="4">
        <v>634348.21</v>
      </c>
      <c r="E47" s="4">
        <v>557416.62</v>
      </c>
      <c r="F47" s="4">
        <f>D47-E47</f>
        <v>76931.589999999967</v>
      </c>
      <c r="G47">
        <f>F47*0.7+D47*0.3</f>
        <v>244156.57599999997</v>
      </c>
      <c r="H47">
        <f>SUMIF(A:A,A47,G:G)</f>
        <v>50096506.616999969</v>
      </c>
      <c r="I47">
        <f>COUNTIFS(A:A, A47,G:G, "&gt;="&amp;G47)</f>
        <v>46</v>
      </c>
      <c r="J47">
        <f>SUMIFS(G:G,A:A,A47,I:I, "&lt;="&amp;I47)</f>
        <v>42745233.106999978</v>
      </c>
      <c r="K47" s="14">
        <f>J47/H47</f>
        <v>0.85325776173971024</v>
      </c>
      <c r="L47" s="14" t="str">
        <f>IF(K47&lt;=0.7,"А",IF(K47&lt;=0.9,"B","C"))</f>
        <v>B</v>
      </c>
    </row>
    <row r="48" spans="1:12" x14ac:dyDescent="0.2">
      <c r="A48" s="2" t="s">
        <v>0</v>
      </c>
      <c r="B48" t="s">
        <v>103</v>
      </c>
      <c r="C48" s="1">
        <v>1</v>
      </c>
      <c r="D48" s="4">
        <v>589276.79</v>
      </c>
      <c r="E48" s="4">
        <v>500373.84</v>
      </c>
      <c r="F48" s="4">
        <f>D48-E48</f>
        <v>88902.950000000012</v>
      </c>
      <c r="G48">
        <f>F48*0.7+D48*0.3</f>
        <v>239015.10200000001</v>
      </c>
      <c r="H48">
        <f>SUMIF(A:A,A48,G:G)</f>
        <v>50096506.616999969</v>
      </c>
      <c r="I48">
        <f>COUNTIFS(A:A, A48,G:G, "&gt;="&amp;G48)</f>
        <v>47</v>
      </c>
      <c r="J48">
        <f>SUMIFS(G:G,A:A,A48,I:I, "&lt;="&amp;I48)</f>
        <v>42984248.208999977</v>
      </c>
      <c r="K48" s="14">
        <f>J48/H48</f>
        <v>0.85802885493843029</v>
      </c>
      <c r="L48" s="14" t="str">
        <f>IF(K48&lt;=0.7,"А",IF(K48&lt;=0.9,"B","C"))</f>
        <v>B</v>
      </c>
    </row>
    <row r="49" spans="1:12" x14ac:dyDescent="0.2">
      <c r="A49" s="2" t="s">
        <v>0</v>
      </c>
      <c r="B49" t="s">
        <v>171</v>
      </c>
      <c r="C49" s="1">
        <v>1</v>
      </c>
      <c r="D49" s="4">
        <v>491062.5</v>
      </c>
      <c r="E49" s="4">
        <v>371820.07</v>
      </c>
      <c r="F49" s="4">
        <f>D49-E49</f>
        <v>119242.43</v>
      </c>
      <c r="G49">
        <f>F49*0.7+D49*0.3</f>
        <v>230788.451</v>
      </c>
      <c r="H49">
        <f>SUMIF(A:A,A49,G:G)</f>
        <v>50096506.616999969</v>
      </c>
      <c r="I49">
        <f>COUNTIFS(A:A, A49,G:G, "&gt;="&amp;G49)</f>
        <v>48</v>
      </c>
      <c r="J49">
        <f>SUMIFS(G:G,A:A,A49,I:I, "&lt;="&amp;I49)</f>
        <v>43215036.659999974</v>
      </c>
      <c r="K49" s="14">
        <f>J49/H49</f>
        <v>0.86263573207588073</v>
      </c>
      <c r="L49" s="14" t="str">
        <f>IF(K49&lt;=0.7,"А",IF(K49&lt;=0.9,"B","C"))</f>
        <v>B</v>
      </c>
    </row>
    <row r="50" spans="1:12" x14ac:dyDescent="0.2">
      <c r="A50" s="2" t="s">
        <v>0</v>
      </c>
      <c r="B50" t="s">
        <v>116</v>
      </c>
      <c r="C50" s="1">
        <v>3</v>
      </c>
      <c r="D50" s="4">
        <v>553544.65</v>
      </c>
      <c r="E50" s="4">
        <v>472930.8</v>
      </c>
      <c r="F50" s="4">
        <f>D50-E50</f>
        <v>80613.850000000035</v>
      </c>
      <c r="G50">
        <f>F50*0.7+D50*0.3</f>
        <v>222493.09000000003</v>
      </c>
      <c r="H50">
        <f>SUMIF(A:A,A50,G:G)</f>
        <v>50096506.616999969</v>
      </c>
      <c r="I50">
        <f>COUNTIFS(A:A, A50,G:G, "&gt;="&amp;G50)</f>
        <v>49</v>
      </c>
      <c r="J50">
        <f>SUMIFS(G:G,A:A,A50,I:I, "&lt;="&amp;I50)</f>
        <v>43437529.749999978</v>
      </c>
      <c r="K50" s="14">
        <f>J50/H50</f>
        <v>0.8670770215993403</v>
      </c>
      <c r="L50" s="14" t="str">
        <f>IF(K50&lt;=0.7,"А",IF(K50&lt;=0.9,"B","C"))</f>
        <v>B</v>
      </c>
    </row>
    <row r="51" spans="1:12" x14ac:dyDescent="0.2">
      <c r="A51" s="2" t="s">
        <v>0</v>
      </c>
      <c r="B51" t="s">
        <v>79</v>
      </c>
      <c r="C51" s="1">
        <v>2</v>
      </c>
      <c r="D51" s="4">
        <v>535696.42000000004</v>
      </c>
      <c r="E51" s="4">
        <v>455341.96</v>
      </c>
      <c r="F51" s="4">
        <f>D51-E51</f>
        <v>80354.460000000021</v>
      </c>
      <c r="G51">
        <f>F51*0.7+D51*0.3</f>
        <v>216957.04800000001</v>
      </c>
      <c r="H51">
        <f>SUMIF(A:A,A51,G:G)</f>
        <v>50096506.616999969</v>
      </c>
      <c r="I51">
        <f>COUNTIFS(A:A, A51,G:G, "&gt;="&amp;G51)</f>
        <v>50</v>
      </c>
      <c r="J51">
        <f>SUMIFS(G:G,A:A,A51,I:I, "&lt;="&amp;I51)</f>
        <v>43654486.797999978</v>
      </c>
      <c r="K51" s="14">
        <f>J51/H51</f>
        <v>0.87140780357698777</v>
      </c>
      <c r="L51" s="14" t="str">
        <f>IF(K51&lt;=0.7,"А",IF(K51&lt;=0.9,"B","C"))</f>
        <v>B</v>
      </c>
    </row>
    <row r="52" spans="1:12" x14ac:dyDescent="0.2">
      <c r="A52" s="2" t="s">
        <v>0</v>
      </c>
      <c r="B52" t="s">
        <v>134</v>
      </c>
      <c r="C52" s="1">
        <v>4</v>
      </c>
      <c r="D52" s="4">
        <v>428535.72</v>
      </c>
      <c r="E52" s="4">
        <v>307217.96999999997</v>
      </c>
      <c r="F52" s="4">
        <f>D52-E52</f>
        <v>121317.75</v>
      </c>
      <c r="G52">
        <f>F52*0.7+D52*0.3</f>
        <v>213483.14099999997</v>
      </c>
      <c r="H52">
        <f>SUMIF(A:A,A52,G:G)</f>
        <v>50096506.616999969</v>
      </c>
      <c r="I52">
        <f>COUNTIFS(A:A, A52,G:G, "&gt;="&amp;G52)</f>
        <v>51</v>
      </c>
      <c r="J52">
        <f>SUMIFS(G:G,A:A,A52,I:I, "&lt;="&amp;I52)</f>
        <v>43867969.938999981</v>
      </c>
      <c r="K52" s="14">
        <f>J52/H52</f>
        <v>0.87566924125830425</v>
      </c>
      <c r="L52" s="14" t="str">
        <f>IF(K52&lt;=0.7,"А",IF(K52&lt;=0.9,"B","C"))</f>
        <v>B</v>
      </c>
    </row>
    <row r="53" spans="1:12" x14ac:dyDescent="0.2">
      <c r="A53" s="2" t="s">
        <v>0</v>
      </c>
      <c r="B53" t="s">
        <v>101</v>
      </c>
      <c r="C53" s="1">
        <v>2</v>
      </c>
      <c r="D53" s="4">
        <v>535696.42000000004</v>
      </c>
      <c r="E53" s="4">
        <v>462069.14</v>
      </c>
      <c r="F53" s="4">
        <f>D53-E53</f>
        <v>73627.280000000028</v>
      </c>
      <c r="G53">
        <f>F53*0.7+D53*0.3</f>
        <v>212248.02200000003</v>
      </c>
      <c r="H53">
        <f>SUMIF(A:A,A53,G:G)</f>
        <v>50096506.616999969</v>
      </c>
      <c r="I53">
        <f>COUNTIFS(A:A, A53,G:G, "&gt;="&amp;G53)</f>
        <v>52</v>
      </c>
      <c r="J53">
        <f>SUMIFS(G:G,A:A,A53,I:I, "&lt;="&amp;I53)</f>
        <v>44080217.960999981</v>
      </c>
      <c r="K53" s="14">
        <f>J53/H53</f>
        <v>0.87990602414663388</v>
      </c>
      <c r="L53" s="14" t="str">
        <f>IF(K53&lt;=0.7,"А",IF(K53&lt;=0.9,"B","C"))</f>
        <v>B</v>
      </c>
    </row>
    <row r="54" spans="1:12" x14ac:dyDescent="0.2">
      <c r="A54" s="2" t="s">
        <v>0</v>
      </c>
      <c r="B54" t="s">
        <v>163</v>
      </c>
      <c r="C54" s="1">
        <v>2</v>
      </c>
      <c r="D54" s="4">
        <v>499982.14</v>
      </c>
      <c r="E54" s="4">
        <v>416133.4</v>
      </c>
      <c r="F54" s="4">
        <f>D54-E54</f>
        <v>83848.739999999991</v>
      </c>
      <c r="G54">
        <f>F54*0.7+D54*0.3</f>
        <v>208688.75999999998</v>
      </c>
      <c r="H54">
        <f>SUMIF(A:A,A54,G:G)</f>
        <v>50096506.616999969</v>
      </c>
      <c r="I54">
        <f>COUNTIFS(A:A, A54,G:G, "&gt;="&amp;G54)</f>
        <v>53</v>
      </c>
      <c r="J54">
        <f>SUMIFS(G:G,A:A,A54,I:I, "&lt;="&amp;I54)</f>
        <v>44288906.720999978</v>
      </c>
      <c r="K54" s="14">
        <f>J54/H54</f>
        <v>0.88407175892721401</v>
      </c>
      <c r="L54" s="14" t="str">
        <f>IF(K54&lt;=0.7,"А",IF(K54&lt;=0.9,"B","C"))</f>
        <v>B</v>
      </c>
    </row>
    <row r="55" spans="1:12" x14ac:dyDescent="0.2">
      <c r="A55" s="2" t="s">
        <v>0</v>
      </c>
      <c r="B55" t="s">
        <v>86</v>
      </c>
      <c r="C55" s="1">
        <v>4</v>
      </c>
      <c r="D55" s="4">
        <v>392821.44</v>
      </c>
      <c r="E55" s="4">
        <v>267922.68</v>
      </c>
      <c r="F55" s="4">
        <f>D55-E55</f>
        <v>124898.76000000001</v>
      </c>
      <c r="G55">
        <f>F55*0.7+D55*0.3</f>
        <v>205275.56400000001</v>
      </c>
      <c r="H55">
        <f>SUMIF(A:A,A55,G:G)</f>
        <v>50096506.616999969</v>
      </c>
      <c r="I55">
        <f>COUNTIFS(A:A, A55,G:G, "&gt;="&amp;G55)</f>
        <v>54</v>
      </c>
      <c r="J55">
        <f>SUMIFS(G:G,A:A,A55,I:I, "&lt;="&amp;I55)</f>
        <v>44494182.284999982</v>
      </c>
      <c r="K55" s="14">
        <f>J55/H55</f>
        <v>0.88816936129237267</v>
      </c>
      <c r="L55" s="14" t="str">
        <f>IF(K55&lt;=0.7,"А",IF(K55&lt;=0.9,"B","C"))</f>
        <v>B</v>
      </c>
    </row>
    <row r="56" spans="1:12" x14ac:dyDescent="0.2">
      <c r="A56" s="2" t="s">
        <v>0</v>
      </c>
      <c r="B56" t="s">
        <v>122</v>
      </c>
      <c r="C56" s="1">
        <v>1</v>
      </c>
      <c r="D56" s="4">
        <v>500883.93</v>
      </c>
      <c r="E56" s="4">
        <v>425751.34</v>
      </c>
      <c r="F56" s="4">
        <f>D56-E56</f>
        <v>75132.589999999967</v>
      </c>
      <c r="G56">
        <f>F56*0.7+D56*0.3</f>
        <v>202857.99199999997</v>
      </c>
      <c r="H56">
        <f>SUMIF(A:A,A56,G:G)</f>
        <v>50096506.616999969</v>
      </c>
      <c r="I56">
        <f>COUNTIFS(A:A, A56,G:G, "&gt;="&amp;G56)</f>
        <v>55</v>
      </c>
      <c r="J56">
        <f>SUMIFS(G:G,A:A,A56,I:I, "&lt;="&amp;I56)</f>
        <v>44697040.27699998</v>
      </c>
      <c r="K56" s="14">
        <f>J56/H56</f>
        <v>0.8922187053624272</v>
      </c>
      <c r="L56" s="14" t="str">
        <f>IF(K56&lt;=0.7,"А",IF(K56&lt;=0.9,"B","C"))</f>
        <v>B</v>
      </c>
    </row>
    <row r="57" spans="1:12" x14ac:dyDescent="0.2">
      <c r="A57" s="2" t="s">
        <v>0</v>
      </c>
      <c r="B57" t="s">
        <v>124</v>
      </c>
      <c r="C57" s="1">
        <v>2</v>
      </c>
      <c r="D57" s="4">
        <v>499982.14</v>
      </c>
      <c r="E57" s="4">
        <v>424984.82</v>
      </c>
      <c r="F57" s="4">
        <f>D57-E57</f>
        <v>74997.320000000007</v>
      </c>
      <c r="G57">
        <f>F57*0.7+D57*0.3</f>
        <v>202492.766</v>
      </c>
      <c r="H57">
        <f>SUMIF(A:A,A57,G:G)</f>
        <v>50096506.616999969</v>
      </c>
      <c r="I57">
        <f>COUNTIFS(A:A, A57,G:G, "&gt;="&amp;G57)</f>
        <v>56</v>
      </c>
      <c r="J57">
        <f>SUMIFS(G:G,A:A,A57,I:I, "&lt;="&amp;I57)</f>
        <v>44899533.042999983</v>
      </c>
      <c r="K57" s="14">
        <f>J57/H57</f>
        <v>0.89626075898401225</v>
      </c>
      <c r="L57" s="14" t="str">
        <f>IF(K57&lt;=0.7,"А",IF(K57&lt;=0.9,"B","C"))</f>
        <v>B</v>
      </c>
    </row>
    <row r="58" spans="1:12" x14ac:dyDescent="0.2">
      <c r="A58" s="2" t="s">
        <v>0</v>
      </c>
      <c r="B58" t="s">
        <v>106</v>
      </c>
      <c r="C58" s="1">
        <v>1</v>
      </c>
      <c r="D58" s="4">
        <v>607133.93000000005</v>
      </c>
      <c r="E58" s="4">
        <v>588524</v>
      </c>
      <c r="F58" s="4">
        <f>D58-E58</f>
        <v>18609.930000000051</v>
      </c>
      <c r="G58">
        <f>F58*0.7+D58*0.3</f>
        <v>195167.13000000003</v>
      </c>
      <c r="H58">
        <f>SUMIF(A:A,A58,G:G)</f>
        <v>50096506.616999969</v>
      </c>
      <c r="I58">
        <f>COUNTIFS(A:A, A58,G:G, "&gt;="&amp;G58)</f>
        <v>57</v>
      </c>
      <c r="J58">
        <f>SUMIFS(G:G,A:A,A58,I:I, "&lt;="&amp;I58)</f>
        <v>45094700.172999986</v>
      </c>
      <c r="K58" s="14">
        <f>J58/H58</f>
        <v>0.90015658212976779</v>
      </c>
      <c r="L58" s="14" t="str">
        <f>IF(K58&lt;=0.7,"А",IF(K58&lt;=0.9,"B","C"))</f>
        <v>C</v>
      </c>
    </row>
    <row r="59" spans="1:12" x14ac:dyDescent="0.2">
      <c r="A59" s="2" t="s">
        <v>0</v>
      </c>
      <c r="B59" t="s">
        <v>131</v>
      </c>
      <c r="C59" s="1">
        <v>1</v>
      </c>
      <c r="D59" s="4">
        <v>464276.79</v>
      </c>
      <c r="E59" s="4">
        <v>392171.61</v>
      </c>
      <c r="F59" s="4">
        <f>D59-E59</f>
        <v>72105.179999999993</v>
      </c>
      <c r="G59">
        <f>F59*0.7+D59*0.3</f>
        <v>189756.66299999997</v>
      </c>
      <c r="H59">
        <f>SUMIF(A:A,A59,G:G)</f>
        <v>50096506.616999969</v>
      </c>
      <c r="I59">
        <f>COUNTIFS(A:A, A59,G:G, "&gt;="&amp;G59)</f>
        <v>58</v>
      </c>
      <c r="J59">
        <f>SUMIFS(G:G,A:A,A59,I:I, "&lt;="&amp;I59)</f>
        <v>45284456.835999988</v>
      </c>
      <c r="K59" s="14">
        <f>J59/H59</f>
        <v>0.90394440439152224</v>
      </c>
      <c r="L59" s="14" t="str">
        <f>IF(K59&lt;=0.7,"А",IF(K59&lt;=0.9,"B","C"))</f>
        <v>C</v>
      </c>
    </row>
    <row r="60" spans="1:12" x14ac:dyDescent="0.2">
      <c r="A60" s="2" t="s">
        <v>0</v>
      </c>
      <c r="B60" t="s">
        <v>73</v>
      </c>
      <c r="C60" s="1">
        <v>2</v>
      </c>
      <c r="D60" s="4">
        <v>464267.86</v>
      </c>
      <c r="E60" s="4">
        <v>394627.68</v>
      </c>
      <c r="F60" s="4">
        <f>D60-E60</f>
        <v>69640.179999999993</v>
      </c>
      <c r="G60">
        <f>F60*0.7+D60*0.3</f>
        <v>188028.48399999997</v>
      </c>
      <c r="H60">
        <f>SUMIF(A:A,A60,G:G)</f>
        <v>50096506.616999969</v>
      </c>
      <c r="I60">
        <f>COUNTIFS(A:A, A60,G:G, "&gt;="&amp;G60)</f>
        <v>59</v>
      </c>
      <c r="J60">
        <f>SUMIFS(G:G,A:A,A60,I:I, "&lt;="&amp;I60)</f>
        <v>45472485.319999985</v>
      </c>
      <c r="K60" s="14">
        <f>J60/H60</f>
        <v>0.90769772965704465</v>
      </c>
      <c r="L60" s="14" t="str">
        <f>IF(K60&lt;=0.7,"А",IF(K60&lt;=0.9,"B","C"))</f>
        <v>C</v>
      </c>
    </row>
    <row r="61" spans="1:12" x14ac:dyDescent="0.2">
      <c r="A61" s="3" t="s">
        <v>0</v>
      </c>
      <c r="B61" t="s">
        <v>121</v>
      </c>
      <c r="C61" s="1">
        <v>1</v>
      </c>
      <c r="D61" s="4">
        <v>446419.64</v>
      </c>
      <c r="E61" s="4">
        <v>373874.15</v>
      </c>
      <c r="F61" s="4">
        <f>D61-E61</f>
        <v>72545.489999999991</v>
      </c>
      <c r="G61">
        <f>F61*0.7+D61*0.3</f>
        <v>184707.73499999999</v>
      </c>
      <c r="H61">
        <f>SUMIF(A:A,A61,G:G)</f>
        <v>50096506.616999969</v>
      </c>
      <c r="I61">
        <f>COUNTIFS(A:A, A61,G:G, "&gt;="&amp;G61)</f>
        <v>60</v>
      </c>
      <c r="J61">
        <f>SUMIFS(G:G,A:A,A61,I:I, "&lt;="&amp;I61)</f>
        <v>45657193.054999985</v>
      </c>
      <c r="K61" s="14">
        <f>J61/H61</f>
        <v>0.91138476788532141</v>
      </c>
      <c r="L61" s="14" t="str">
        <f>IF(K61&lt;=0.7,"А",IF(K61&lt;=0.9,"B","C"))</f>
        <v>C</v>
      </c>
    </row>
    <row r="62" spans="1:12" x14ac:dyDescent="0.2">
      <c r="A62" s="2" t="s">
        <v>0</v>
      </c>
      <c r="B62" t="s">
        <v>69</v>
      </c>
      <c r="C62" s="1">
        <v>1</v>
      </c>
      <c r="D62" s="4">
        <v>446419.64</v>
      </c>
      <c r="E62" s="4">
        <v>379456.69</v>
      </c>
      <c r="F62" s="4">
        <f>D62-E62</f>
        <v>66962.950000000012</v>
      </c>
      <c r="G62">
        <f>F62*0.7+D62*0.3</f>
        <v>180799.95699999999</v>
      </c>
      <c r="H62">
        <f>SUMIF(A:A,A62,G:G)</f>
        <v>50096506.616999969</v>
      </c>
      <c r="I62">
        <f>COUNTIFS(A:A, A62,G:G, "&gt;="&amp;G62)</f>
        <v>61</v>
      </c>
      <c r="J62">
        <f>SUMIFS(G:G,A:A,A62,I:I, "&lt;="&amp;I62)</f>
        <v>45837993.011999987</v>
      </c>
      <c r="K62" s="14">
        <f>J62/H62</f>
        <v>0.91499380111357143</v>
      </c>
      <c r="L62" s="14" t="str">
        <f>IF(K62&lt;=0.7,"А",IF(K62&lt;=0.9,"B","C"))</f>
        <v>C</v>
      </c>
    </row>
    <row r="63" spans="1:12" x14ac:dyDescent="0.2">
      <c r="A63" s="2" t="s">
        <v>0</v>
      </c>
      <c r="B63" t="s">
        <v>102</v>
      </c>
      <c r="C63" s="1">
        <v>2</v>
      </c>
      <c r="D63" s="4">
        <v>607125</v>
      </c>
      <c r="E63" s="4">
        <v>609834.71</v>
      </c>
      <c r="F63" s="4">
        <f>D63-E63</f>
        <v>-2709.7099999999627</v>
      </c>
      <c r="G63">
        <f>F63*0.7+D63*0.3</f>
        <v>180240.70300000004</v>
      </c>
      <c r="H63">
        <f>SUMIF(A:A,A63,G:G)</f>
        <v>50096506.616999969</v>
      </c>
      <c r="I63">
        <f>COUNTIFS(A:A, A63,G:G, "&gt;="&amp;G63)</f>
        <v>62</v>
      </c>
      <c r="J63">
        <f>SUMIFS(G:G,A:A,A63,I:I, "&lt;="&amp;I63)</f>
        <v>46018233.714999989</v>
      </c>
      <c r="K63" s="14">
        <f>J63/H63</f>
        <v>0.91859167080891746</v>
      </c>
      <c r="L63" s="14" t="str">
        <f>IF(K63&lt;=0.7,"А",IF(K63&lt;=0.9,"B","C"))</f>
        <v>C</v>
      </c>
    </row>
    <row r="64" spans="1:12" x14ac:dyDescent="0.2">
      <c r="A64" s="2" t="s">
        <v>0</v>
      </c>
      <c r="B64" t="s">
        <v>159</v>
      </c>
      <c r="C64" s="1">
        <v>2</v>
      </c>
      <c r="D64" s="4">
        <v>446410.72</v>
      </c>
      <c r="E64" s="4">
        <v>406167.06</v>
      </c>
      <c r="F64" s="4">
        <f>D64-E64</f>
        <v>40243.659999999974</v>
      </c>
      <c r="G64">
        <f>F64*0.7+D64*0.3</f>
        <v>162093.77799999996</v>
      </c>
      <c r="H64">
        <f>SUMIF(A:A,A64,G:G)</f>
        <v>50096506.616999969</v>
      </c>
      <c r="I64">
        <f>COUNTIFS(A:A, A64,G:G, "&gt;="&amp;G64)</f>
        <v>63</v>
      </c>
      <c r="J64">
        <f>SUMIFS(G:G,A:A,A64,I:I, "&lt;="&amp;I64)</f>
        <v>46180327.492999986</v>
      </c>
      <c r="K64" s="14">
        <f>J64/H64</f>
        <v>0.92182730117410927</v>
      </c>
      <c r="L64" s="14" t="str">
        <f>IF(K64&lt;=0.7,"А",IF(K64&lt;=0.9,"B","C"))</f>
        <v>C</v>
      </c>
    </row>
    <row r="65" spans="1:12" x14ac:dyDescent="0.2">
      <c r="A65" s="2" t="s">
        <v>0</v>
      </c>
      <c r="B65" t="s">
        <v>115</v>
      </c>
      <c r="C65" s="1">
        <v>1</v>
      </c>
      <c r="D65" s="4">
        <v>392848.21</v>
      </c>
      <c r="E65" s="4">
        <v>333920.98</v>
      </c>
      <c r="F65" s="4">
        <f>D65-E65</f>
        <v>58927.23000000004</v>
      </c>
      <c r="G65">
        <f>F65*0.7+D65*0.3</f>
        <v>159103.52400000003</v>
      </c>
      <c r="H65">
        <f>SUMIF(A:A,A65,G:G)</f>
        <v>50096506.616999969</v>
      </c>
      <c r="I65">
        <f>COUNTIFS(A:A, A65,G:G, "&gt;="&amp;G65)</f>
        <v>64</v>
      </c>
      <c r="J65">
        <f>SUMIFS(G:G,A:A,A65,I:I, "&lt;="&amp;I65)</f>
        <v>46339431.016999982</v>
      </c>
      <c r="K65" s="14">
        <f>J65/H65</f>
        <v>0.92500324166865078</v>
      </c>
      <c r="L65" s="14" t="str">
        <f>IF(K65&lt;=0.7,"А",IF(K65&lt;=0.9,"B","C"))</f>
        <v>C</v>
      </c>
    </row>
    <row r="66" spans="1:12" x14ac:dyDescent="0.2">
      <c r="A66" s="2" t="s">
        <v>0</v>
      </c>
      <c r="B66" t="s">
        <v>94</v>
      </c>
      <c r="C66" s="1">
        <v>2</v>
      </c>
      <c r="D66" s="4">
        <v>499982.14</v>
      </c>
      <c r="E66" s="4">
        <v>488593.64</v>
      </c>
      <c r="F66" s="4">
        <f>D66-E66</f>
        <v>11388.5</v>
      </c>
      <c r="G66">
        <f>F66*0.7+D66*0.3</f>
        <v>157966.592</v>
      </c>
      <c r="H66">
        <f>SUMIF(A:A,A66,G:G)</f>
        <v>50096506.616999969</v>
      </c>
      <c r="I66">
        <f>COUNTIFS(A:A, A66,G:G, "&gt;="&amp;G66)</f>
        <v>65</v>
      </c>
      <c r="J66">
        <f>SUMIFS(G:G,A:A,A66,I:I, "&lt;="&amp;I66)</f>
        <v>46497397.608999982</v>
      </c>
      <c r="K66" s="14">
        <f>J66/H66</f>
        <v>0.92815648732722911</v>
      </c>
      <c r="L66" s="14" t="str">
        <f>IF(K66&lt;=0.7,"А",IF(K66&lt;=0.9,"B","C"))</f>
        <v>C</v>
      </c>
    </row>
    <row r="67" spans="1:12" x14ac:dyDescent="0.2">
      <c r="A67" s="2" t="s">
        <v>0</v>
      </c>
      <c r="B67" t="s">
        <v>123</v>
      </c>
      <c r="C67" s="1">
        <v>1</v>
      </c>
      <c r="D67" s="4">
        <v>374991.07</v>
      </c>
      <c r="E67" s="4">
        <v>311710.89</v>
      </c>
      <c r="F67" s="4">
        <f>D67-E67</f>
        <v>63280.179999999993</v>
      </c>
      <c r="G67">
        <f>F67*0.7+D67*0.3</f>
        <v>156793.44699999999</v>
      </c>
      <c r="H67">
        <f>SUMIF(A:A,A67,G:G)</f>
        <v>50096506.616999969</v>
      </c>
      <c r="I67">
        <f>COUNTIFS(A:A, A67,G:G, "&gt;="&amp;G67)</f>
        <v>66</v>
      </c>
      <c r="J67">
        <f>SUMIFS(G:G,A:A,A67,I:I, "&lt;="&amp;I67)</f>
        <v>46654191.055999979</v>
      </c>
      <c r="K67" s="14">
        <f>J67/H67</f>
        <v>0.931286315285069</v>
      </c>
      <c r="L67" s="14" t="str">
        <f>IF(K67&lt;=0.7,"А",IF(K67&lt;=0.9,"B","C"))</f>
        <v>C</v>
      </c>
    </row>
    <row r="68" spans="1:12" x14ac:dyDescent="0.2">
      <c r="A68" s="2" t="s">
        <v>0</v>
      </c>
      <c r="B68" t="s">
        <v>125</v>
      </c>
      <c r="C68" s="1">
        <v>1</v>
      </c>
      <c r="D68" s="4">
        <v>374991.07</v>
      </c>
      <c r="E68" s="4">
        <v>312063.11</v>
      </c>
      <c r="F68" s="4">
        <f>D68-E68</f>
        <v>62927.960000000021</v>
      </c>
      <c r="G68">
        <f>F68*0.7+D68*0.3</f>
        <v>156546.89300000001</v>
      </c>
      <c r="H68">
        <f>SUMIF(A:A,A68,G:G)</f>
        <v>50096506.616999969</v>
      </c>
      <c r="I68">
        <f>COUNTIFS(A:A, A68,G:G, "&gt;="&amp;G68)</f>
        <v>67</v>
      </c>
      <c r="J68">
        <f>SUMIFS(G:G,A:A,A68,I:I, "&lt;="&amp;I68)</f>
        <v>46810737.948999979</v>
      </c>
      <c r="K68" s="14">
        <f>J68/H68</f>
        <v>0.93441122166221102</v>
      </c>
      <c r="L68" s="14" t="str">
        <f>IF(K68&lt;=0.7,"А",IF(K68&lt;=0.9,"B","C"))</f>
        <v>C</v>
      </c>
    </row>
    <row r="69" spans="1:12" x14ac:dyDescent="0.2">
      <c r="A69" s="2" t="s">
        <v>0</v>
      </c>
      <c r="B69" t="s">
        <v>127</v>
      </c>
      <c r="C69" s="1">
        <v>2</v>
      </c>
      <c r="D69" s="4">
        <v>357125</v>
      </c>
      <c r="E69" s="4">
        <v>303556.24</v>
      </c>
      <c r="F69" s="4">
        <f>D69-E69</f>
        <v>53568.760000000009</v>
      </c>
      <c r="G69">
        <f>F69*0.7+D69*0.3</f>
        <v>144635.63200000001</v>
      </c>
      <c r="H69">
        <f>SUMIF(A:A,A69,G:G)</f>
        <v>50096506.616999969</v>
      </c>
      <c r="I69">
        <f>COUNTIFS(A:A, A69,G:G, "&gt;="&amp;G69)</f>
        <v>68</v>
      </c>
      <c r="J69">
        <f>SUMIFS(G:G,A:A,A69,I:I, "&lt;="&amp;I69)</f>
        <v>46955373.580999978</v>
      </c>
      <c r="K69" s="14">
        <f>J69/H69</f>
        <v>0.93729836173977721</v>
      </c>
      <c r="L69" s="14" t="str">
        <f>IF(K69&lt;=0.7,"А",IF(K69&lt;=0.9,"B","C"))</f>
        <v>C</v>
      </c>
    </row>
    <row r="70" spans="1:12" x14ac:dyDescent="0.2">
      <c r="A70" s="2" t="s">
        <v>0</v>
      </c>
      <c r="B70" t="s">
        <v>128</v>
      </c>
      <c r="C70" s="1">
        <v>2</v>
      </c>
      <c r="D70" s="4">
        <v>334803.57</v>
      </c>
      <c r="E70" s="4">
        <v>278510.71999999997</v>
      </c>
      <c r="F70" s="4">
        <f>D70-E70</f>
        <v>56292.850000000035</v>
      </c>
      <c r="G70">
        <f>F70*0.7+D70*0.3</f>
        <v>139846.06600000002</v>
      </c>
      <c r="H70">
        <f>SUMIF(A:A,A70,G:G)</f>
        <v>50096506.616999969</v>
      </c>
      <c r="I70">
        <f>COUNTIFS(A:A, A70,G:G, "&gt;="&amp;G70)</f>
        <v>69</v>
      </c>
      <c r="J70">
        <f>SUMIFS(G:G,A:A,A70,I:I, "&lt;="&amp;I70)</f>
        <v>47095219.646999978</v>
      </c>
      <c r="K70" s="14">
        <f>J70/H70</f>
        <v>0.94008989503109341</v>
      </c>
      <c r="L70" s="14" t="str">
        <f>IF(K70&lt;=0.7,"А",IF(K70&lt;=0.9,"B","C"))</f>
        <v>C</v>
      </c>
    </row>
    <row r="71" spans="1:12" x14ac:dyDescent="0.2">
      <c r="A71" s="2" t="s">
        <v>0</v>
      </c>
      <c r="B71" t="s">
        <v>141</v>
      </c>
      <c r="C71" s="1">
        <v>2</v>
      </c>
      <c r="D71" s="4">
        <v>339267.86</v>
      </c>
      <c r="E71" s="4">
        <v>285028.68</v>
      </c>
      <c r="F71" s="4">
        <f>D71-E71</f>
        <v>54239.179999999993</v>
      </c>
      <c r="G71">
        <f>F71*0.7+D71*0.3</f>
        <v>139747.78399999999</v>
      </c>
      <c r="H71">
        <f>SUMIF(A:A,A71,G:G)</f>
        <v>50096506.616999969</v>
      </c>
      <c r="I71">
        <f>COUNTIFS(A:A, A71,G:G, "&gt;="&amp;G71)</f>
        <v>70</v>
      </c>
      <c r="J71">
        <f>SUMIFS(G:G,A:A,A71,I:I, "&lt;="&amp;I71)</f>
        <v>47234967.430999979</v>
      </c>
      <c r="K71" s="14">
        <f>J71/H71</f>
        <v>0.9428794664690463</v>
      </c>
      <c r="L71" s="14" t="str">
        <f>IF(K71&lt;=0.7,"А",IF(K71&lt;=0.9,"B","C"))</f>
        <v>C</v>
      </c>
    </row>
    <row r="72" spans="1:12" x14ac:dyDescent="0.2">
      <c r="A72" s="2" t="s">
        <v>0</v>
      </c>
      <c r="B72" t="s">
        <v>99</v>
      </c>
      <c r="C72" s="1">
        <v>2</v>
      </c>
      <c r="D72" s="4">
        <v>348196.42</v>
      </c>
      <c r="E72" s="4">
        <v>302708.49</v>
      </c>
      <c r="F72" s="4">
        <f>D72-E72</f>
        <v>45487.929999999993</v>
      </c>
      <c r="G72">
        <f>F72*0.7+D72*0.3</f>
        <v>136300.47699999998</v>
      </c>
      <c r="H72">
        <f>SUMIF(A:A,A72,G:G)</f>
        <v>50096506.616999969</v>
      </c>
      <c r="I72">
        <f>COUNTIFS(A:A, A72,G:G, "&gt;="&amp;G72)</f>
        <v>71</v>
      </c>
      <c r="J72">
        <f>SUMIFS(G:G,A:A,A72,I:I, "&lt;="&amp;I72)</f>
        <v>47371267.907999977</v>
      </c>
      <c r="K72" s="14">
        <f>J72/H72</f>
        <v>0.94560022458581583</v>
      </c>
      <c r="L72" s="14" t="str">
        <f>IF(K72&lt;=0.7,"А",IF(K72&lt;=0.9,"B","C"))</f>
        <v>C</v>
      </c>
    </row>
    <row r="73" spans="1:12" x14ac:dyDescent="0.2">
      <c r="A73" s="2" t="s">
        <v>0</v>
      </c>
      <c r="B73" t="s">
        <v>154</v>
      </c>
      <c r="C73" s="1">
        <v>3</v>
      </c>
      <c r="D73" s="4">
        <v>516312.5</v>
      </c>
      <c r="E73" s="4">
        <v>543609.42000000004</v>
      </c>
      <c r="F73" s="4">
        <f>D73-E73</f>
        <v>-27296.920000000042</v>
      </c>
      <c r="G73">
        <f>F73*0.7+D73*0.3</f>
        <v>135785.90599999996</v>
      </c>
      <c r="H73">
        <f>SUMIF(A:A,A73,G:G)</f>
        <v>50096506.616999969</v>
      </c>
      <c r="I73">
        <f>COUNTIFS(A:A, A73,G:G, "&gt;="&amp;G73)</f>
        <v>72</v>
      </c>
      <c r="J73">
        <f>SUMIFS(G:G,A:A,A73,I:I, "&lt;="&amp;I73)</f>
        <v>47507053.813999981</v>
      </c>
      <c r="K73" s="14">
        <f>J73/H73</f>
        <v>0.94831071110812204</v>
      </c>
      <c r="L73" s="14" t="str">
        <f>IF(K73&lt;=0.7,"А",IF(K73&lt;=0.9,"B","C"))</f>
        <v>C</v>
      </c>
    </row>
    <row r="74" spans="1:12" x14ac:dyDescent="0.2">
      <c r="A74" s="2" t="s">
        <v>0</v>
      </c>
      <c r="B74" t="s">
        <v>76</v>
      </c>
      <c r="C74" s="1">
        <v>2</v>
      </c>
      <c r="D74" s="4">
        <v>303553.58</v>
      </c>
      <c r="E74" s="4">
        <v>258020.54</v>
      </c>
      <c r="F74" s="4">
        <f>D74-E74</f>
        <v>45533.040000000008</v>
      </c>
      <c r="G74">
        <f>F74*0.7+D74*0.3</f>
        <v>122939.20200000002</v>
      </c>
      <c r="H74">
        <f>SUMIF(A:A,A74,G:G)</f>
        <v>50096506.616999969</v>
      </c>
      <c r="I74">
        <f>COUNTIFS(A:A, A74,G:G, "&gt;="&amp;G74)</f>
        <v>73</v>
      </c>
      <c r="J74">
        <f>SUMIFS(G:G,A:A,A74,I:I, "&lt;="&amp;I74)</f>
        <v>47629993.01599998</v>
      </c>
      <c r="K74" s="14">
        <f>J74/H74</f>
        <v>0.95076475851186415</v>
      </c>
      <c r="L74" s="14" t="str">
        <f>IF(K74&lt;=0.7,"А",IF(K74&lt;=0.9,"B","C"))</f>
        <v>C</v>
      </c>
    </row>
    <row r="75" spans="1:12" x14ac:dyDescent="0.2">
      <c r="A75" s="2" t="s">
        <v>0</v>
      </c>
      <c r="B75" t="s">
        <v>143</v>
      </c>
      <c r="C75" s="1">
        <v>2</v>
      </c>
      <c r="D75" s="4">
        <v>388196.43</v>
      </c>
      <c r="E75" s="4">
        <v>379401.1</v>
      </c>
      <c r="F75" s="4">
        <f>D75-E75</f>
        <v>8795.3300000000163</v>
      </c>
      <c r="G75">
        <f>F75*0.7+D75*0.3</f>
        <v>122615.66</v>
      </c>
      <c r="H75">
        <f>SUMIF(A:A,A75,G:G)</f>
        <v>50096506.616999969</v>
      </c>
      <c r="I75">
        <f>COUNTIFS(A:A, A75,G:G, "&gt;="&amp;G75)</f>
        <v>74</v>
      </c>
      <c r="J75">
        <f>SUMIFS(G:G,A:A,A75,I:I, "&lt;="&amp;I75)</f>
        <v>47752608.675999977</v>
      </c>
      <c r="K75" s="14">
        <f>J75/H75</f>
        <v>0.95321234754112372</v>
      </c>
      <c r="L75" s="14" t="str">
        <f>IF(K75&lt;=0.7,"А",IF(K75&lt;=0.9,"B","C"))</f>
        <v>C</v>
      </c>
    </row>
    <row r="76" spans="1:12" x14ac:dyDescent="0.2">
      <c r="A76" s="2" t="s">
        <v>0</v>
      </c>
      <c r="B76" t="s">
        <v>100</v>
      </c>
      <c r="C76" s="1">
        <v>1</v>
      </c>
      <c r="D76" s="4">
        <v>392848.21</v>
      </c>
      <c r="E76" s="4">
        <v>388700.96</v>
      </c>
      <c r="F76" s="4">
        <f>D76-E76</f>
        <v>4147.25</v>
      </c>
      <c r="G76">
        <f>F76*0.7+D76*0.3</f>
        <v>120757.538</v>
      </c>
      <c r="H76">
        <f>SUMIF(A:A,A76,G:G)</f>
        <v>50096506.616999969</v>
      </c>
      <c r="I76">
        <f>COUNTIFS(A:A, A76,G:G, "&gt;="&amp;G76)</f>
        <v>75</v>
      </c>
      <c r="J76">
        <f>SUMIFS(G:G,A:A,A76,I:I, "&lt;="&amp;I76)</f>
        <v>47873366.213999979</v>
      </c>
      <c r="K76" s="14">
        <f>J76/H76</f>
        <v>0.95562284572063194</v>
      </c>
      <c r="L76" s="14" t="str">
        <f>IF(K76&lt;=0.7,"А",IF(K76&lt;=0.9,"B","C"))</f>
        <v>C</v>
      </c>
    </row>
    <row r="77" spans="1:12" x14ac:dyDescent="0.2">
      <c r="A77" s="2" t="s">
        <v>0</v>
      </c>
      <c r="B77" t="s">
        <v>151</v>
      </c>
      <c r="C77" s="1">
        <v>1</v>
      </c>
      <c r="D77" s="4">
        <v>285705.36</v>
      </c>
      <c r="E77" s="4">
        <v>240439.15</v>
      </c>
      <c r="F77" s="4">
        <f>D77-E77</f>
        <v>45266.209999999992</v>
      </c>
      <c r="G77">
        <f>F77*0.7+D77*0.3</f>
        <v>117397.95499999999</v>
      </c>
      <c r="H77">
        <f>SUMIF(A:A,A77,G:G)</f>
        <v>50096506.616999969</v>
      </c>
      <c r="I77">
        <f>COUNTIFS(A:A, A77,G:G, "&gt;="&amp;G77)</f>
        <v>76</v>
      </c>
      <c r="J77">
        <f>SUMIFS(G:G,A:A,A77,I:I, "&lt;="&amp;I77)</f>
        <v>47990764.168999977</v>
      </c>
      <c r="K77" s="14">
        <f>J77/H77</f>
        <v>0.95796628167910181</v>
      </c>
      <c r="L77" s="14" t="str">
        <f>IF(K77&lt;=0.7,"А",IF(K77&lt;=0.9,"B","C"))</f>
        <v>C</v>
      </c>
    </row>
    <row r="78" spans="1:12" x14ac:dyDescent="0.2">
      <c r="A78" s="2" t="s">
        <v>0</v>
      </c>
      <c r="B78" t="s">
        <v>148</v>
      </c>
      <c r="C78" s="1">
        <v>2</v>
      </c>
      <c r="D78" s="4">
        <v>410696.42</v>
      </c>
      <c r="E78" s="4">
        <v>422691.38</v>
      </c>
      <c r="F78" s="4">
        <f>D78-E78</f>
        <v>-11994.960000000021</v>
      </c>
      <c r="G78">
        <f>F78*0.7+D78*0.3</f>
        <v>114812.45399999998</v>
      </c>
      <c r="H78">
        <f>SUMIF(A:A,A78,G:G)</f>
        <v>50096506.616999969</v>
      </c>
      <c r="I78">
        <f>COUNTIFS(A:A, A78,G:G, "&gt;="&amp;G78)</f>
        <v>77</v>
      </c>
      <c r="J78">
        <f>SUMIFS(G:G,A:A,A78,I:I, "&lt;="&amp;I78)</f>
        <v>48105576.622999981</v>
      </c>
      <c r="K78" s="14">
        <f>J78/H78</f>
        <v>0.96025810723248362</v>
      </c>
      <c r="L78" s="14" t="str">
        <f>IF(K78&lt;=0.7,"А",IF(K78&lt;=0.9,"B","C"))</f>
        <v>C</v>
      </c>
    </row>
    <row r="79" spans="1:12" x14ac:dyDescent="0.2">
      <c r="A79" s="2" t="s">
        <v>0</v>
      </c>
      <c r="B79" t="s">
        <v>138</v>
      </c>
      <c r="C79" s="1">
        <v>1</v>
      </c>
      <c r="D79" s="4">
        <v>285705.36</v>
      </c>
      <c r="E79" s="4">
        <v>245099.49</v>
      </c>
      <c r="F79" s="4">
        <f>D79-E79</f>
        <v>40605.869999999995</v>
      </c>
      <c r="G79">
        <f>F79*0.7+D79*0.3</f>
        <v>114135.71699999999</v>
      </c>
      <c r="H79">
        <f>SUMIF(A:A,A79,G:G)</f>
        <v>50096506.616999969</v>
      </c>
      <c r="I79">
        <f>COUNTIFS(A:A, A79,G:G, "&gt;="&amp;G79)</f>
        <v>78</v>
      </c>
      <c r="J79">
        <f>SUMIFS(G:G,A:A,A79,I:I, "&lt;="&amp;I79)</f>
        <v>48219712.339999981</v>
      </c>
      <c r="K79" s="14">
        <f>J79/H79</f>
        <v>0.96253642411937945</v>
      </c>
      <c r="L79" s="14" t="str">
        <f>IF(K79&lt;=0.7,"А",IF(K79&lt;=0.9,"B","C"))</f>
        <v>C</v>
      </c>
    </row>
    <row r="80" spans="1:12" x14ac:dyDescent="0.2">
      <c r="A80" s="2" t="s">
        <v>0</v>
      </c>
      <c r="B80" t="s">
        <v>82</v>
      </c>
      <c r="C80" s="1">
        <v>1</v>
      </c>
      <c r="D80" s="4">
        <v>267848.21000000002</v>
      </c>
      <c r="E80" s="4">
        <v>226876.93</v>
      </c>
      <c r="F80" s="4">
        <f>D80-E80</f>
        <v>40971.280000000028</v>
      </c>
      <c r="G80">
        <f>F80*0.7+D80*0.3</f>
        <v>109034.35900000003</v>
      </c>
      <c r="H80">
        <f>SUMIF(A:A,A80,G:G)</f>
        <v>50096506.616999969</v>
      </c>
      <c r="I80">
        <f>COUNTIFS(A:A, A80,G:G, "&gt;="&amp;G80)</f>
        <v>79</v>
      </c>
      <c r="J80">
        <f>SUMIFS(G:G,A:A,A80,I:I, "&lt;="&amp;I80)</f>
        <v>48328746.698999979</v>
      </c>
      <c r="K80" s="14">
        <f>J80/H80</f>
        <v>0.96471291039283547</v>
      </c>
      <c r="L80" s="14" t="str">
        <f>IF(K80&lt;=0.7,"А",IF(K80&lt;=0.9,"B","C"))</f>
        <v>C</v>
      </c>
    </row>
    <row r="81" spans="1:12" x14ac:dyDescent="0.2">
      <c r="A81" s="2" t="s">
        <v>0</v>
      </c>
      <c r="B81" t="s">
        <v>113</v>
      </c>
      <c r="C81" s="1">
        <v>1</v>
      </c>
      <c r="D81" s="4">
        <v>267848.21000000002</v>
      </c>
      <c r="E81" s="4">
        <v>227670.98</v>
      </c>
      <c r="F81" s="4">
        <f>D81-E81</f>
        <v>40177.23000000001</v>
      </c>
      <c r="G81">
        <f>F81*0.7+D81*0.3</f>
        <v>108478.524</v>
      </c>
      <c r="H81">
        <f>SUMIF(A:A,A81,G:G)</f>
        <v>50096506.616999969</v>
      </c>
      <c r="I81">
        <f>COUNTIFS(A:A, A81,G:G, "&gt;="&amp;G81)</f>
        <v>80</v>
      </c>
      <c r="J81">
        <f>SUMIFS(G:G,A:A,A81,I:I, "&lt;="&amp;I81)</f>
        <v>48437225.222999975</v>
      </c>
      <c r="K81" s="14">
        <f>J81/H81</f>
        <v>0.96687830138165909</v>
      </c>
      <c r="L81" s="14" t="str">
        <f>IF(K81&lt;=0.7,"А",IF(K81&lt;=0.9,"B","C"))</f>
        <v>C</v>
      </c>
    </row>
    <row r="82" spans="1:12" x14ac:dyDescent="0.2">
      <c r="A82" s="2" t="s">
        <v>0</v>
      </c>
      <c r="B82" t="s">
        <v>74</v>
      </c>
      <c r="C82" s="1">
        <v>1</v>
      </c>
      <c r="D82" s="4">
        <v>258919.64</v>
      </c>
      <c r="E82" s="4">
        <v>220081.69</v>
      </c>
      <c r="F82" s="4">
        <f>D82-E82</f>
        <v>38837.950000000012</v>
      </c>
      <c r="G82">
        <f>F82*0.7+D82*0.3</f>
        <v>104862.45700000001</v>
      </c>
      <c r="H82">
        <f>SUMIF(A:A,A82,G:G)</f>
        <v>50096506.616999969</v>
      </c>
      <c r="I82">
        <f>COUNTIFS(A:A, A82,G:G, "&gt;="&amp;G82)</f>
        <v>81</v>
      </c>
      <c r="J82">
        <f>SUMIFS(G:G,A:A,A82,I:I, "&lt;="&amp;I82)</f>
        <v>48542087.679999977</v>
      </c>
      <c r="K82" s="14">
        <f>J82/H82</f>
        <v>0.96897151035133244</v>
      </c>
      <c r="L82" s="14" t="str">
        <f>IF(K82&lt;=0.7,"А",IF(K82&lt;=0.9,"B","C"))</f>
        <v>C</v>
      </c>
    </row>
    <row r="83" spans="1:12" x14ac:dyDescent="0.2">
      <c r="A83" s="2" t="s">
        <v>0</v>
      </c>
      <c r="B83" t="s">
        <v>162</v>
      </c>
      <c r="C83" s="1">
        <v>1</v>
      </c>
      <c r="D83" s="4">
        <v>223205.36</v>
      </c>
      <c r="E83" s="4">
        <v>174748.53</v>
      </c>
      <c r="F83" s="4">
        <f>D83-E83</f>
        <v>48456.829999999987</v>
      </c>
      <c r="G83">
        <f>F83*0.7+D83*0.3</f>
        <v>100881.38899999998</v>
      </c>
      <c r="H83">
        <f>SUMIF(A:A,A83,G:G)</f>
        <v>50096506.616999969</v>
      </c>
      <c r="I83">
        <f>COUNTIFS(A:A, A83,G:G, "&gt;="&amp;G83)</f>
        <v>82</v>
      </c>
      <c r="J83">
        <f>SUMIFS(G:G,A:A,A83,I:I, "&lt;="&amp;I83)</f>
        <v>48642969.068999976</v>
      </c>
      <c r="K83" s="14">
        <f>J83/H83</f>
        <v>0.97098525134471669</v>
      </c>
      <c r="L83" s="14" t="str">
        <f>IF(K83&lt;=0.7,"А",IF(K83&lt;=0.9,"B","C"))</f>
        <v>C</v>
      </c>
    </row>
    <row r="84" spans="1:12" x14ac:dyDescent="0.2">
      <c r="A84" s="2" t="s">
        <v>0</v>
      </c>
      <c r="B84" t="s">
        <v>117</v>
      </c>
      <c r="C84" s="1">
        <v>1</v>
      </c>
      <c r="D84" s="4">
        <v>245526.79</v>
      </c>
      <c r="E84" s="4">
        <v>208697.77</v>
      </c>
      <c r="F84" s="4">
        <f>D84-E84</f>
        <v>36829.020000000019</v>
      </c>
      <c r="G84">
        <f>F84*0.7+D84*0.3</f>
        <v>99438.35100000001</v>
      </c>
      <c r="H84">
        <f>SUMIF(A:A,A84,G:G)</f>
        <v>50096506.616999969</v>
      </c>
      <c r="I84">
        <f>COUNTIFS(A:A, A84,G:G, "&gt;="&amp;G84)</f>
        <v>83</v>
      </c>
      <c r="J84">
        <f>SUMIFS(G:G,A:A,A84,I:I, "&lt;="&amp;I84)</f>
        <v>48742407.419999979</v>
      </c>
      <c r="K84" s="14">
        <f>J84/H84</f>
        <v>0.97297018717587613</v>
      </c>
      <c r="L84" s="14" t="str">
        <f>IF(K84&lt;=0.7,"А",IF(K84&lt;=0.9,"B","C"))</f>
        <v>C</v>
      </c>
    </row>
    <row r="85" spans="1:12" x14ac:dyDescent="0.2">
      <c r="A85" s="2" t="s">
        <v>0</v>
      </c>
      <c r="B85" t="s">
        <v>81</v>
      </c>
      <c r="C85" s="1">
        <v>1</v>
      </c>
      <c r="D85" s="4">
        <v>321419.64</v>
      </c>
      <c r="E85" s="4">
        <v>321364.07</v>
      </c>
      <c r="F85" s="4">
        <f>D85-E85</f>
        <v>55.570000000006985</v>
      </c>
      <c r="G85">
        <f>F85*0.7+D85*0.3</f>
        <v>96464.791000000012</v>
      </c>
      <c r="H85">
        <f>SUMIF(A:A,A85,G:G)</f>
        <v>50096506.616999969</v>
      </c>
      <c r="I85">
        <f>COUNTIFS(A:A, A85,G:G, "&gt;="&amp;G85)</f>
        <v>84</v>
      </c>
      <c r="J85">
        <f>SUMIFS(G:G,A:A,A85,I:I, "&lt;="&amp;I85)</f>
        <v>48838872.210999981</v>
      </c>
      <c r="K85" s="14">
        <f>J85/H85</f>
        <v>0.97489576637319419</v>
      </c>
      <c r="L85" s="14" t="str">
        <f>IF(K85&lt;=0.7,"А",IF(K85&lt;=0.9,"B","C"))</f>
        <v>C</v>
      </c>
    </row>
    <row r="86" spans="1:12" x14ac:dyDescent="0.2">
      <c r="A86" s="2" t="s">
        <v>0</v>
      </c>
      <c r="B86" t="s">
        <v>88</v>
      </c>
      <c r="C86" s="1">
        <v>1</v>
      </c>
      <c r="D86" s="4">
        <v>321330.36</v>
      </c>
      <c r="E86" s="4">
        <v>321689.59999999998</v>
      </c>
      <c r="F86" s="4">
        <f>D86-E86</f>
        <v>-359.23999999999069</v>
      </c>
      <c r="G86">
        <f>F86*0.7+D86*0.3</f>
        <v>96147.64</v>
      </c>
      <c r="H86">
        <f>SUMIF(A:A,A86,G:G)</f>
        <v>50096506.616999969</v>
      </c>
      <c r="I86">
        <f>COUNTIFS(A:A, A86,G:G, "&gt;="&amp;G86)</f>
        <v>85</v>
      </c>
      <c r="J86">
        <f>SUMIFS(G:G,A:A,A86,I:I, "&lt;="&amp;I86)</f>
        <v>48935019.850999981</v>
      </c>
      <c r="K86" s="14">
        <f>J86/H86</f>
        <v>0.97681501476979549</v>
      </c>
      <c r="L86" s="14" t="str">
        <f>IF(K86&lt;=0.7,"А",IF(K86&lt;=0.9,"B","C"))</f>
        <v>C</v>
      </c>
    </row>
    <row r="87" spans="1:12" x14ac:dyDescent="0.2">
      <c r="A87" s="2" t="s">
        <v>0</v>
      </c>
      <c r="B87" t="s">
        <v>114</v>
      </c>
      <c r="C87" s="1">
        <v>1</v>
      </c>
      <c r="D87" s="4">
        <v>223205.36</v>
      </c>
      <c r="E87" s="4">
        <v>189724.56</v>
      </c>
      <c r="F87" s="4">
        <f>D87-E87</f>
        <v>33480.799999999988</v>
      </c>
      <c r="G87">
        <f>F87*0.7+D87*0.3</f>
        <v>90398.167999999976</v>
      </c>
      <c r="H87">
        <f>SUMIF(A:A,A87,G:G)</f>
        <v>50096506.616999969</v>
      </c>
      <c r="I87">
        <f>COUNTIFS(A:A, A87,G:G, "&gt;="&amp;G87)</f>
        <v>86</v>
      </c>
      <c r="J87">
        <f>SUMIFS(G:G,A:A,A87,I:I, "&lt;="&amp;I87)</f>
        <v>49025418.018999979</v>
      </c>
      <c r="K87" s="14">
        <f>J87/H87</f>
        <v>0.97861949524367586</v>
      </c>
      <c r="L87" s="14" t="str">
        <f>IF(K87&lt;=0.7,"А",IF(K87&lt;=0.9,"B","C"))</f>
        <v>C</v>
      </c>
    </row>
    <row r="88" spans="1:12" x14ac:dyDescent="0.2">
      <c r="A88" s="2" t="s">
        <v>0</v>
      </c>
      <c r="B88" t="s">
        <v>160</v>
      </c>
      <c r="C88" s="1">
        <v>1</v>
      </c>
      <c r="D88" s="4">
        <v>223205.36</v>
      </c>
      <c r="E88" s="4">
        <v>192414.19</v>
      </c>
      <c r="F88" s="4">
        <f>D88-E88</f>
        <v>30791.169999999984</v>
      </c>
      <c r="G88">
        <f>F88*0.7+D88*0.3</f>
        <v>88515.426999999981</v>
      </c>
      <c r="H88">
        <f>SUMIF(A:A,A88,G:G)</f>
        <v>50096506.616999969</v>
      </c>
      <c r="I88">
        <f>COUNTIFS(A:A, A88,G:G, "&gt;="&amp;G88)</f>
        <v>87</v>
      </c>
      <c r="J88">
        <f>SUMIFS(G:G,A:A,A88,I:I, "&lt;="&amp;I88)</f>
        <v>49113933.44599998</v>
      </c>
      <c r="K88" s="14">
        <f>J88/H88</f>
        <v>0.98038639343633283</v>
      </c>
      <c r="L88" s="14" t="str">
        <f>IF(K88&lt;=0.7,"А",IF(K88&lt;=0.9,"B","C"))</f>
        <v>C</v>
      </c>
    </row>
    <row r="89" spans="1:12" x14ac:dyDescent="0.2">
      <c r="A89" s="2" t="s">
        <v>0</v>
      </c>
      <c r="B89" t="s">
        <v>80</v>
      </c>
      <c r="C89" s="1">
        <v>1</v>
      </c>
      <c r="D89" s="4">
        <v>205348.21</v>
      </c>
      <c r="E89" s="4">
        <v>174545.98</v>
      </c>
      <c r="F89" s="4">
        <f>D89-E89</f>
        <v>30802.229999999981</v>
      </c>
      <c r="G89">
        <f>F89*0.7+D89*0.3</f>
        <v>83166.023999999976</v>
      </c>
      <c r="H89">
        <f>SUMIF(A:A,A89,G:G)</f>
        <v>50096506.616999969</v>
      </c>
      <c r="I89">
        <f>COUNTIFS(A:A, A89,G:G, "&gt;="&amp;G89)</f>
        <v>88</v>
      </c>
      <c r="J89">
        <f>SUMIFS(G:G,A:A,A89,I:I, "&lt;="&amp;I89)</f>
        <v>49197099.469999976</v>
      </c>
      <c r="K89" s="14">
        <f>J89/H89</f>
        <v>0.98204650967229756</v>
      </c>
      <c r="L89" s="14" t="str">
        <f>IF(K89&lt;=0.7,"А",IF(K89&lt;=0.9,"B","C"))</f>
        <v>C</v>
      </c>
    </row>
    <row r="90" spans="1:12" x14ac:dyDescent="0.2">
      <c r="A90" s="2" t="s">
        <v>0</v>
      </c>
      <c r="B90" t="s">
        <v>147</v>
      </c>
      <c r="C90" s="1">
        <v>1</v>
      </c>
      <c r="D90" s="4">
        <v>276776.78999999998</v>
      </c>
      <c r="E90" s="4">
        <v>276715.74</v>
      </c>
      <c r="F90" s="4">
        <f>D90-E90</f>
        <v>61.049999999988358</v>
      </c>
      <c r="G90">
        <f>F90*0.7+D90*0.3</f>
        <v>83075.771999999983</v>
      </c>
      <c r="H90">
        <f>SUMIF(A:A,A90,G:G)</f>
        <v>50096506.616999969</v>
      </c>
      <c r="I90">
        <f>COUNTIFS(A:A, A90,G:G, "&gt;="&amp;G90)</f>
        <v>89</v>
      </c>
      <c r="J90">
        <f>SUMIFS(G:G,A:A,A90,I:I, "&lt;="&amp;I90)</f>
        <v>49280175.241999976</v>
      </c>
      <c r="K90" s="14">
        <f>J90/H90</f>
        <v>0.98370482434551687</v>
      </c>
      <c r="L90" s="14" t="str">
        <f>IF(K90&lt;=0.7,"А",IF(K90&lt;=0.9,"B","C"))</f>
        <v>C</v>
      </c>
    </row>
    <row r="91" spans="1:12" x14ac:dyDescent="0.2">
      <c r="A91" s="2" t="s">
        <v>0</v>
      </c>
      <c r="B91" t="s">
        <v>145</v>
      </c>
      <c r="C91" s="1">
        <v>1</v>
      </c>
      <c r="D91" s="4">
        <v>187491.07</v>
      </c>
      <c r="E91" s="4">
        <v>159487.87</v>
      </c>
      <c r="F91" s="4">
        <f>D91-E91</f>
        <v>28003.200000000012</v>
      </c>
      <c r="G91">
        <f>F91*0.7+D91*0.3</f>
        <v>75849.561000000016</v>
      </c>
      <c r="H91">
        <f>SUMIF(A:A,A91,G:G)</f>
        <v>50096506.616999969</v>
      </c>
      <c r="I91">
        <f>COUNTIFS(A:A, A91,G:G, "&gt;="&amp;G91)</f>
        <v>90</v>
      </c>
      <c r="J91">
        <f>SUMIFS(G:G,A:A,A91,I:I, "&lt;="&amp;I91)</f>
        <v>49356024.802999973</v>
      </c>
      <c r="K91" s="14">
        <f>J91/H91</f>
        <v>0.98521889321223211</v>
      </c>
      <c r="L91" s="14" t="str">
        <f>IF(K91&lt;=0.7,"А",IF(K91&lt;=0.9,"B","C"))</f>
        <v>C</v>
      </c>
    </row>
    <row r="92" spans="1:12" x14ac:dyDescent="0.2">
      <c r="A92" s="2" t="s">
        <v>0</v>
      </c>
      <c r="B92" t="s">
        <v>152</v>
      </c>
      <c r="C92" s="1">
        <v>1</v>
      </c>
      <c r="D92" s="4">
        <v>223205.36</v>
      </c>
      <c r="E92" s="4">
        <v>210999.88</v>
      </c>
      <c r="F92" s="4">
        <f>D92-E92</f>
        <v>12205.479999999981</v>
      </c>
      <c r="G92">
        <f>F92*0.7+D92*0.3</f>
        <v>75505.443999999974</v>
      </c>
      <c r="H92">
        <f>SUMIF(A:A,A92,G:G)</f>
        <v>50096506.616999969</v>
      </c>
      <c r="I92">
        <f>COUNTIFS(A:A, A92,G:G, "&gt;="&amp;G92)</f>
        <v>91</v>
      </c>
      <c r="J92">
        <f>SUMIFS(G:G,A:A,A92,I:I, "&lt;="&amp;I92)</f>
        <v>49431530.246999972</v>
      </c>
      <c r="K92" s="14">
        <f>J92/H92</f>
        <v>0.98672609299718428</v>
      </c>
      <c r="L92" s="14" t="str">
        <f>IF(K92&lt;=0.7,"А",IF(K92&lt;=0.9,"B","C"))</f>
        <v>C</v>
      </c>
    </row>
    <row r="93" spans="1:12" x14ac:dyDescent="0.2">
      <c r="A93" s="13" t="s">
        <v>0</v>
      </c>
      <c r="B93" t="s">
        <v>66</v>
      </c>
      <c r="C93" s="1">
        <v>2</v>
      </c>
      <c r="D93" s="4">
        <v>241053.57</v>
      </c>
      <c r="E93" s="4">
        <v>241040.92</v>
      </c>
      <c r="F93" s="4">
        <f>D93-E93</f>
        <v>12.649999999994179</v>
      </c>
      <c r="G93">
        <f>F93*0.7+D93*0.3</f>
        <v>72324.925999999992</v>
      </c>
      <c r="H93">
        <f>SUMIF(A:A,A93,G:G)</f>
        <v>50096506.616999969</v>
      </c>
      <c r="I93">
        <f>COUNTIFS(A:A, A93,G:G, "&gt;="&amp;G93)</f>
        <v>92</v>
      </c>
      <c r="J93">
        <f>SUMIFS(G:G,A:A,A93,I:I, "&lt;="&amp;I93)</f>
        <v>49503855.172999971</v>
      </c>
      <c r="K93" s="14">
        <f>J93/H93</f>
        <v>0.98816980496203133</v>
      </c>
      <c r="L93" s="14" t="str">
        <f>IF(K93&lt;=0.7,"А",IF(K93&lt;=0.9,"B","C"))</f>
        <v>C</v>
      </c>
    </row>
    <row r="94" spans="1:12" x14ac:dyDescent="0.2">
      <c r="A94" s="2" t="s">
        <v>0</v>
      </c>
      <c r="B94" t="s">
        <v>91</v>
      </c>
      <c r="C94" s="1">
        <v>1</v>
      </c>
      <c r="D94" s="4">
        <v>169633.93</v>
      </c>
      <c r="E94" s="4">
        <v>139889.21</v>
      </c>
      <c r="F94" s="4">
        <f>D94-E94</f>
        <v>29744.720000000001</v>
      </c>
      <c r="G94">
        <f>F94*0.7+D94*0.3</f>
        <v>71711.482999999993</v>
      </c>
      <c r="H94">
        <f>SUMIF(A:A,A94,G:G)</f>
        <v>50096506.616999969</v>
      </c>
      <c r="I94">
        <f>COUNTIFS(A:A, A94,G:G, "&gt;="&amp;G94)</f>
        <v>93</v>
      </c>
      <c r="J94">
        <f>SUMIFS(G:G,A:A,A94,I:I, "&lt;="&amp;I94)</f>
        <v>49575566.655999973</v>
      </c>
      <c r="K94" s="14">
        <f>J94/H94</f>
        <v>0.98960127170178336</v>
      </c>
      <c r="L94" s="14" t="str">
        <f>IF(K94&lt;=0.7,"А",IF(K94&lt;=0.9,"B","C"))</f>
        <v>C</v>
      </c>
    </row>
    <row r="95" spans="1:12" x14ac:dyDescent="0.2">
      <c r="A95" s="2" t="s">
        <v>0</v>
      </c>
      <c r="B95" t="s">
        <v>95</v>
      </c>
      <c r="C95" s="1">
        <v>1</v>
      </c>
      <c r="D95" s="4">
        <v>187491.07</v>
      </c>
      <c r="E95" s="4">
        <v>178957.72</v>
      </c>
      <c r="F95" s="4">
        <f>D95-E95</f>
        <v>8533.3500000000058</v>
      </c>
      <c r="G95">
        <f>F95*0.7+D95*0.3</f>
        <v>62220.666000000005</v>
      </c>
      <c r="H95">
        <f>SUMIF(A:A,A95,G:G)</f>
        <v>50096506.616999969</v>
      </c>
      <c r="I95">
        <f>COUNTIFS(A:A, A95,G:G, "&gt;="&amp;G95)</f>
        <v>94</v>
      </c>
      <c r="J95">
        <f>SUMIFS(G:G,A:A,A95,I:I, "&lt;="&amp;I95)</f>
        <v>49637787.321999975</v>
      </c>
      <c r="K95" s="14">
        <f>J95/H95</f>
        <v>0.99084328776641029</v>
      </c>
      <c r="L95" s="14" t="str">
        <f>IF(K95&lt;=0.7,"А",IF(K95&lt;=0.9,"B","C"))</f>
        <v>C</v>
      </c>
    </row>
    <row r="96" spans="1:12" x14ac:dyDescent="0.2">
      <c r="A96" s="2" t="s">
        <v>0</v>
      </c>
      <c r="B96" t="s">
        <v>97</v>
      </c>
      <c r="C96" s="1">
        <v>1</v>
      </c>
      <c r="D96" s="4">
        <v>160705.35999999999</v>
      </c>
      <c r="E96" s="4">
        <v>143882.93</v>
      </c>
      <c r="F96" s="4">
        <f>D96-E96</f>
        <v>16822.429999999993</v>
      </c>
      <c r="G96">
        <f>F96*0.7+D96*0.3</f>
        <v>59987.308999999987</v>
      </c>
      <c r="H96">
        <f>SUMIF(A:A,A96,G:G)</f>
        <v>50096506.616999969</v>
      </c>
      <c r="I96">
        <f>COUNTIFS(A:A, A96,G:G, "&gt;="&amp;G96)</f>
        <v>95</v>
      </c>
      <c r="J96">
        <f>SUMIFS(G:G,A:A,A96,I:I, "&lt;="&amp;I96)</f>
        <v>49697774.630999975</v>
      </c>
      <c r="K96" s="14">
        <f>J96/H96</f>
        <v>0.99204072273844568</v>
      </c>
      <c r="L96" s="14" t="str">
        <f>IF(K96&lt;=0.7,"А",IF(K96&lt;=0.9,"B","C"))</f>
        <v>C</v>
      </c>
    </row>
    <row r="97" spans="1:12" x14ac:dyDescent="0.2">
      <c r="A97" s="2" t="s">
        <v>0</v>
      </c>
      <c r="B97" t="s">
        <v>135</v>
      </c>
      <c r="C97" s="1">
        <v>1</v>
      </c>
      <c r="D97" s="4">
        <v>178562.5</v>
      </c>
      <c r="E97" s="4">
        <v>170723.1</v>
      </c>
      <c r="F97" s="4">
        <f>D97-E97</f>
        <v>7839.3999999999942</v>
      </c>
      <c r="G97">
        <f>F97*0.7+D97*0.3</f>
        <v>59056.329999999994</v>
      </c>
      <c r="H97">
        <f>SUMIF(A:A,A97,G:G)</f>
        <v>50096506.616999969</v>
      </c>
      <c r="I97">
        <f>COUNTIFS(A:A, A97,G:G, "&gt;="&amp;G97)</f>
        <v>96</v>
      </c>
      <c r="J97">
        <f>SUMIFS(G:G,A:A,A97,I:I, "&lt;="&amp;I97)</f>
        <v>49756830.960999973</v>
      </c>
      <c r="K97" s="14">
        <f>J97/H97</f>
        <v>0.99321957399950267</v>
      </c>
      <c r="L97" s="14" t="str">
        <f>IF(K97&lt;=0.7,"А",IF(K97&lt;=0.9,"B","C"))</f>
        <v>C</v>
      </c>
    </row>
    <row r="98" spans="1:12" x14ac:dyDescent="0.2">
      <c r="A98" s="2" t="s">
        <v>0</v>
      </c>
      <c r="B98" t="s">
        <v>75</v>
      </c>
      <c r="C98" s="1">
        <v>1</v>
      </c>
      <c r="D98" s="4">
        <v>142848.21</v>
      </c>
      <c r="E98" s="4">
        <v>121420.98</v>
      </c>
      <c r="F98" s="4">
        <f>D98-E98</f>
        <v>21427.229999999996</v>
      </c>
      <c r="G98">
        <f>F98*0.7+D98*0.3</f>
        <v>57853.52399999999</v>
      </c>
      <c r="H98">
        <f>SUMIF(A:A,A98,G:G)</f>
        <v>50096506.616999969</v>
      </c>
      <c r="I98">
        <f>COUNTIFS(A:A, A98,G:G, "&gt;="&amp;G98)</f>
        <v>97</v>
      </c>
      <c r="J98">
        <f>SUMIFS(G:G,A:A,A98,I:I, "&lt;="&amp;I98)</f>
        <v>49814684.48499997</v>
      </c>
      <c r="K98" s="14">
        <f>J98/H98</f>
        <v>0.99437441548260841</v>
      </c>
      <c r="L98" s="14" t="str">
        <f>IF(K98&lt;=0.7,"А",IF(K98&lt;=0.9,"B","C"))</f>
        <v>C</v>
      </c>
    </row>
    <row r="99" spans="1:12" x14ac:dyDescent="0.2">
      <c r="A99" s="2" t="s">
        <v>0</v>
      </c>
      <c r="B99" t="s">
        <v>136</v>
      </c>
      <c r="C99" s="1">
        <v>1</v>
      </c>
      <c r="D99" s="4">
        <v>142848.21</v>
      </c>
      <c r="E99" s="4">
        <v>143469.64000000001</v>
      </c>
      <c r="F99" s="4">
        <f>D99-E99</f>
        <v>-621.43000000002212</v>
      </c>
      <c r="G99">
        <f>F99*0.7+D99*0.3</f>
        <v>42419.461999999978</v>
      </c>
      <c r="H99">
        <f>SUMIF(A:A,A99,G:G)</f>
        <v>50096506.616999969</v>
      </c>
      <c r="I99">
        <f>COUNTIFS(A:A, A99,G:G, "&gt;="&amp;G99)</f>
        <v>98</v>
      </c>
      <c r="J99">
        <f>SUMIFS(G:G,A:A,A99,I:I, "&lt;="&amp;I99)</f>
        <v>49857103.946999967</v>
      </c>
      <c r="K99" s="14">
        <f>J99/H99</f>
        <v>0.99522117037360924</v>
      </c>
      <c r="L99" s="14" t="str">
        <f>IF(K99&lt;=0.7,"А",IF(K99&lt;=0.9,"B","C"))</f>
        <v>C</v>
      </c>
    </row>
    <row r="100" spans="1:12" x14ac:dyDescent="0.2">
      <c r="A100" s="2" t="s">
        <v>0</v>
      </c>
      <c r="B100" t="s">
        <v>139</v>
      </c>
      <c r="C100" s="1">
        <v>2</v>
      </c>
      <c r="D100" s="4">
        <v>216053.57</v>
      </c>
      <c r="E100" s="4">
        <v>249645.22</v>
      </c>
      <c r="F100" s="4">
        <f>D100-E100</f>
        <v>-33591.649999999994</v>
      </c>
      <c r="G100">
        <f>F100*0.7+D100*0.3</f>
        <v>41301.915999999997</v>
      </c>
      <c r="H100">
        <f>SUMIF(A:A,A100,G:G)</f>
        <v>50096506.616999969</v>
      </c>
      <c r="I100">
        <f>COUNTIFS(A:A, A100,G:G, "&gt;="&amp;G100)</f>
        <v>99</v>
      </c>
      <c r="J100">
        <f>SUMIFS(G:G,A:A,A100,I:I, "&lt;="&amp;I100)</f>
        <v>49898405.862999968</v>
      </c>
      <c r="K100" s="14">
        <f>J100/H100</f>
        <v>0.99604561740173758</v>
      </c>
      <c r="L100" s="14" t="str">
        <f>IF(K100&lt;=0.7,"А",IF(K100&lt;=0.9,"B","C"))</f>
        <v>C</v>
      </c>
    </row>
    <row r="101" spans="1:12" x14ac:dyDescent="0.2">
      <c r="A101" s="2" t="s">
        <v>0</v>
      </c>
      <c r="B101" t="s">
        <v>83</v>
      </c>
      <c r="C101" s="1">
        <v>1</v>
      </c>
      <c r="D101" s="4">
        <v>129455.36</v>
      </c>
      <c r="E101" s="4">
        <v>127448.56</v>
      </c>
      <c r="F101" s="4">
        <f>D101-E101</f>
        <v>2006.8000000000029</v>
      </c>
      <c r="G101">
        <f>F101*0.7+D101*0.3</f>
        <v>40241.368000000002</v>
      </c>
      <c r="H101">
        <f>SUMIF(A:A,A101,G:G)</f>
        <v>50096506.616999969</v>
      </c>
      <c r="I101">
        <f>COUNTIFS(A:A, A101,G:G, "&gt;="&amp;G101)</f>
        <v>100</v>
      </c>
      <c r="J101">
        <f>SUMIFS(G:G,A:A,A101,I:I, "&lt;="&amp;I101)</f>
        <v>49938647.230999969</v>
      </c>
      <c r="K101" s="14">
        <f>J101/H101</f>
        <v>0.99684889433095858</v>
      </c>
      <c r="L101" s="14" t="str">
        <f>IF(K101&lt;=0.7,"А",IF(K101&lt;=0.9,"B","C"))</f>
        <v>C</v>
      </c>
    </row>
    <row r="102" spans="1:12" x14ac:dyDescent="0.2">
      <c r="A102" s="2" t="s">
        <v>0</v>
      </c>
      <c r="B102" t="s">
        <v>96</v>
      </c>
      <c r="C102" s="1">
        <v>1</v>
      </c>
      <c r="D102" s="4">
        <v>142848.21</v>
      </c>
      <c r="E102" s="4">
        <v>147270.03</v>
      </c>
      <c r="F102" s="4">
        <f>D102-E102</f>
        <v>-4421.820000000007</v>
      </c>
      <c r="G102">
        <f>F102*0.7+D102*0.3</f>
        <v>39759.188999999991</v>
      </c>
      <c r="H102">
        <f>SUMIF(A:A,A102,G:G)</f>
        <v>50096506.616999969</v>
      </c>
      <c r="I102">
        <f>COUNTIFS(A:A, A102,G:G, "&gt;="&amp;G102)</f>
        <v>101</v>
      </c>
      <c r="J102">
        <f>SUMIFS(G:G,A:A,A102,I:I, "&lt;="&amp;I102)</f>
        <v>49978406.419999972</v>
      </c>
      <c r="K102" s="14">
        <f>J102/H102</f>
        <v>0.9976425462577081</v>
      </c>
      <c r="L102" s="14" t="str">
        <f>IF(K102&lt;=0.7,"А",IF(K102&lt;=0.9,"B","C"))</f>
        <v>C</v>
      </c>
    </row>
    <row r="103" spans="1:12" x14ac:dyDescent="0.2">
      <c r="A103" s="2" t="s">
        <v>0</v>
      </c>
      <c r="B103" t="s">
        <v>144</v>
      </c>
      <c r="C103" s="1">
        <v>1</v>
      </c>
      <c r="D103" s="4">
        <v>178562.5</v>
      </c>
      <c r="E103" s="4">
        <v>207598.98</v>
      </c>
      <c r="F103" s="4">
        <f>D103-E103</f>
        <v>-29036.48000000001</v>
      </c>
      <c r="G103">
        <f>F103*0.7+D103*0.3</f>
        <v>33243.213999999993</v>
      </c>
      <c r="H103">
        <f>SUMIF(A:A,A103,G:G)</f>
        <v>50096506.616999969</v>
      </c>
      <c r="I103">
        <f>COUNTIFS(A:A, A103,G:G, "&gt;="&amp;G103)</f>
        <v>102</v>
      </c>
      <c r="J103">
        <f>SUMIFS(G:G,A:A,A103,I:I, "&lt;="&amp;I103)</f>
        <v>50011649.633999974</v>
      </c>
      <c r="K103" s="14">
        <f>J103/H103</f>
        <v>0.99830612973378063</v>
      </c>
      <c r="L103" s="14" t="str">
        <f>IF(K103&lt;=0.7,"А",IF(K103&lt;=0.9,"B","C"))</f>
        <v>C</v>
      </c>
    </row>
    <row r="104" spans="1:12" x14ac:dyDescent="0.2">
      <c r="A104" s="2" t="s">
        <v>0</v>
      </c>
      <c r="B104" t="s">
        <v>140</v>
      </c>
      <c r="C104" s="1">
        <v>1</v>
      </c>
      <c r="D104" s="4">
        <v>120526.79</v>
      </c>
      <c r="E104" s="4">
        <v>133847.79</v>
      </c>
      <c r="F104" s="4">
        <f>D104-E104</f>
        <v>-13321.000000000015</v>
      </c>
      <c r="G104">
        <f>F104*0.7+D104*0.3</f>
        <v>26833.336999999985</v>
      </c>
      <c r="H104">
        <f>SUMIF(A:A,A104,G:G)</f>
        <v>50096506.616999969</v>
      </c>
      <c r="I104">
        <f>COUNTIFS(A:A, A104,G:G, "&gt;="&amp;G104)</f>
        <v>103</v>
      </c>
      <c r="J104">
        <f>SUMIFS(G:G,A:A,A104,I:I, "&lt;="&amp;I104)</f>
        <v>50038482.970999971</v>
      </c>
      <c r="K104" s="14">
        <f>J104/H104</f>
        <v>0.99884176263140256</v>
      </c>
      <c r="L104" s="14" t="str">
        <f>IF(K104&lt;=0.7,"А",IF(K104&lt;=0.9,"B","C"))</f>
        <v>C</v>
      </c>
    </row>
    <row r="105" spans="1:12" x14ac:dyDescent="0.2">
      <c r="A105" s="2" t="s">
        <v>0</v>
      </c>
      <c r="B105" t="s">
        <v>146</v>
      </c>
      <c r="C105" s="1">
        <v>1</v>
      </c>
      <c r="D105" s="4">
        <v>207133.93</v>
      </c>
      <c r="E105" s="4">
        <v>258901.06</v>
      </c>
      <c r="F105" s="4">
        <f>D105-E105</f>
        <v>-51767.130000000005</v>
      </c>
      <c r="G105">
        <f>F105*0.7+D105*0.3</f>
        <v>25903.187999999995</v>
      </c>
      <c r="H105">
        <f>SUMIF(A:A,A105,G:G)</f>
        <v>50096506.616999969</v>
      </c>
      <c r="I105">
        <f>COUNTIFS(A:A, A105,G:G, "&gt;="&amp;G105)</f>
        <v>104</v>
      </c>
      <c r="J105">
        <f>SUMIFS(G:G,A:A,A105,I:I, "&lt;="&amp;I105)</f>
        <v>50064386.158999972</v>
      </c>
      <c r="K105" s="14">
        <f>J105/H105</f>
        <v>0.9993588283860676</v>
      </c>
      <c r="L105" s="14" t="str">
        <f>IF(K105&lt;=0.7,"А",IF(K105&lt;=0.9,"B","C"))</f>
        <v>C</v>
      </c>
    </row>
    <row r="106" spans="1:12" x14ac:dyDescent="0.2">
      <c r="A106" s="2" t="s">
        <v>0</v>
      </c>
      <c r="B106" t="s">
        <v>150</v>
      </c>
      <c r="C106" s="1">
        <v>1</v>
      </c>
      <c r="D106" s="4">
        <v>167848.21</v>
      </c>
      <c r="E106" s="4">
        <v>210765.16</v>
      </c>
      <c r="F106" s="4">
        <f>D106-E106</f>
        <v>-42916.950000000012</v>
      </c>
      <c r="G106">
        <f>F106*0.7+D106*0.3</f>
        <v>20312.597999999991</v>
      </c>
      <c r="H106">
        <f>SUMIF(A:A,A106,G:G)</f>
        <v>50096506.616999969</v>
      </c>
      <c r="I106">
        <f>COUNTIFS(A:A, A106,G:G, "&gt;="&amp;G106)</f>
        <v>105</v>
      </c>
      <c r="J106">
        <f>SUMIFS(G:G,A:A,A106,I:I, "&lt;="&amp;I106)</f>
        <v>50084698.756999969</v>
      </c>
      <c r="K106" s="14">
        <f>J106/H106</f>
        <v>0.99976429773656128</v>
      </c>
      <c r="L106" s="14" t="str">
        <f>IF(K106&lt;=0.7,"А",IF(K106&lt;=0.9,"B","C"))</f>
        <v>C</v>
      </c>
    </row>
    <row r="107" spans="1:12" x14ac:dyDescent="0.2">
      <c r="A107" s="2" t="s">
        <v>0</v>
      </c>
      <c r="B107" t="s">
        <v>98</v>
      </c>
      <c r="C107" s="1">
        <v>1</v>
      </c>
      <c r="D107" s="4">
        <v>94366.07</v>
      </c>
      <c r="E107" s="4">
        <v>117940.3</v>
      </c>
      <c r="F107" s="4">
        <f>D107-E107</f>
        <v>-23574.229999999996</v>
      </c>
      <c r="G107">
        <f>F107*0.7+D107*0.3</f>
        <v>11807.860000000004</v>
      </c>
      <c r="H107">
        <f>SUMIF(A:A,A107,G:G)</f>
        <v>50096506.616999969</v>
      </c>
      <c r="I107">
        <f>COUNTIFS(A:A, A107,G:G, "&gt;="&amp;G107)</f>
        <v>106</v>
      </c>
      <c r="J107">
        <f>SUMIFS(G:G,A:A,A107,I:I, "&lt;="&amp;I107)</f>
        <v>50096506.616999969</v>
      </c>
      <c r="K107" s="14">
        <f>J107/H107</f>
        <v>1</v>
      </c>
      <c r="L107" s="14" t="str">
        <f>IF(K107&lt;=0.7,"А",IF(K107&lt;=0.9,"B","C"))</f>
        <v>C</v>
      </c>
    </row>
    <row r="108" spans="1:12" x14ac:dyDescent="0.2">
      <c r="A108" s="2" t="s">
        <v>47</v>
      </c>
      <c r="B108" t="s">
        <v>26</v>
      </c>
      <c r="C108" s="1">
        <v>90</v>
      </c>
      <c r="D108" s="4">
        <v>2005661.61</v>
      </c>
      <c r="E108" s="4">
        <v>1121526.2</v>
      </c>
      <c r="F108" s="4">
        <f>D108-E108</f>
        <v>884135.41000000015</v>
      </c>
      <c r="G108">
        <f>F108*0.7+D108*0.3</f>
        <v>1220593.27</v>
      </c>
      <c r="H108">
        <f>SUMIF(A:A,A108,G:G)</f>
        <v>7590730.3989999993</v>
      </c>
      <c r="I108">
        <f>COUNTIFS(A:A, A108,G:G, "&gt;="&amp;G108)</f>
        <v>1</v>
      </c>
      <c r="J108">
        <f>SUMIFS(G:G,A:A,A108,I:I, "&lt;="&amp;I108)</f>
        <v>1220593.27</v>
      </c>
      <c r="K108" s="14">
        <f>J108/H108</f>
        <v>0.16080050348788577</v>
      </c>
      <c r="L108" s="14" t="str">
        <f>IF(K108&lt;=0.7,"А",IF(K108&lt;=0.9,"B","C"))</f>
        <v>А</v>
      </c>
    </row>
    <row r="109" spans="1:12" x14ac:dyDescent="0.2">
      <c r="A109" s="2" t="s">
        <v>47</v>
      </c>
      <c r="B109" t="s">
        <v>10</v>
      </c>
      <c r="C109" s="1">
        <v>21</v>
      </c>
      <c r="D109" s="4">
        <v>2059544.61</v>
      </c>
      <c r="E109" s="4">
        <v>1608407.03</v>
      </c>
      <c r="F109" s="4">
        <f>D109-E109</f>
        <v>451137.58000000007</v>
      </c>
      <c r="G109">
        <f>F109*0.7+D109*0.3</f>
        <v>933659.68900000001</v>
      </c>
      <c r="H109">
        <f>SUMIF(A:A,A109,G:G)</f>
        <v>7590730.3989999993</v>
      </c>
      <c r="I109">
        <f>COUNTIFS(A:A, A109,G:G, "&gt;="&amp;G109)</f>
        <v>2</v>
      </c>
      <c r="J109">
        <f>SUMIFS(G:G,A:A,A109,I:I, "&lt;="&amp;I109)</f>
        <v>2154252.9589999998</v>
      </c>
      <c r="K109" s="14">
        <f>J109/H109</f>
        <v>0.28380048371679761</v>
      </c>
      <c r="L109" s="14" t="str">
        <f>IF(K109&lt;=0.7,"А",IF(K109&lt;=0.9,"B","C"))</f>
        <v>А</v>
      </c>
    </row>
    <row r="110" spans="1:12" x14ac:dyDescent="0.2">
      <c r="A110" s="2" t="s">
        <v>47</v>
      </c>
      <c r="B110" t="s">
        <v>34</v>
      </c>
      <c r="C110" s="1">
        <v>54</v>
      </c>
      <c r="D110" s="4">
        <v>1445946.64</v>
      </c>
      <c r="E110" s="4">
        <v>838344.93</v>
      </c>
      <c r="F110" s="4">
        <f>D110-E110</f>
        <v>607601.70999999985</v>
      </c>
      <c r="G110">
        <f>F110*0.7+D110*0.3</f>
        <v>859105.18899999978</v>
      </c>
      <c r="H110">
        <f>SUMIF(A:A,A110,G:G)</f>
        <v>7590730.3989999993</v>
      </c>
      <c r="I110">
        <f>COUNTIFS(A:A, A110,G:G, "&gt;="&amp;G110)</f>
        <v>3</v>
      </c>
      <c r="J110">
        <f>SUMIFS(G:G,A:A,A110,I:I, "&lt;="&amp;I110)</f>
        <v>3013358.1479999996</v>
      </c>
      <c r="K110" s="14">
        <f>J110/H110</f>
        <v>0.3969786818402849</v>
      </c>
      <c r="L110" s="14" t="str">
        <f>IF(K110&lt;=0.7,"А",IF(K110&lt;=0.9,"B","C"))</f>
        <v>А</v>
      </c>
    </row>
    <row r="111" spans="1:12" x14ac:dyDescent="0.2">
      <c r="A111" s="2" t="s">
        <v>47</v>
      </c>
      <c r="B111" t="s">
        <v>11</v>
      </c>
      <c r="C111" s="1">
        <v>15</v>
      </c>
      <c r="D111" s="4">
        <v>1470848.19</v>
      </c>
      <c r="E111" s="4">
        <v>1149206</v>
      </c>
      <c r="F111" s="4">
        <f>D111-E111</f>
        <v>321642.18999999994</v>
      </c>
      <c r="G111">
        <f>F111*0.7+D111*0.3</f>
        <v>666403.99</v>
      </c>
      <c r="H111">
        <f>SUMIF(A:A,A111,G:G)</f>
        <v>7590730.3989999993</v>
      </c>
      <c r="I111">
        <f>COUNTIFS(A:A, A111,G:G, "&gt;="&amp;G111)</f>
        <v>4</v>
      </c>
      <c r="J111">
        <f>SUMIFS(G:G,A:A,A111,I:I, "&lt;="&amp;I111)</f>
        <v>3679762.1379999993</v>
      </c>
      <c r="K111" s="14">
        <f>J111/H111</f>
        <v>0.48477049566729047</v>
      </c>
      <c r="L111" s="14" t="str">
        <f>IF(K111&lt;=0.7,"А",IF(K111&lt;=0.9,"B","C"))</f>
        <v>А</v>
      </c>
    </row>
    <row r="112" spans="1:12" x14ac:dyDescent="0.2">
      <c r="A112" s="2" t="s">
        <v>47</v>
      </c>
      <c r="B112" t="s">
        <v>13</v>
      </c>
      <c r="C112" s="1">
        <v>14</v>
      </c>
      <c r="D112" s="4">
        <v>1239696.43</v>
      </c>
      <c r="E112" s="4">
        <v>966963.22</v>
      </c>
      <c r="F112" s="4">
        <f>D112-E112</f>
        <v>272733.20999999996</v>
      </c>
      <c r="G112">
        <f>F112*0.7+D112*0.3</f>
        <v>562822.17599999998</v>
      </c>
      <c r="H112">
        <f>SUMIF(A:A,A112,G:G)</f>
        <v>7590730.3989999993</v>
      </c>
      <c r="I112">
        <f>COUNTIFS(A:A, A112,G:G, "&gt;="&amp;G112)</f>
        <v>5</v>
      </c>
      <c r="J112">
        <f>SUMIFS(G:G,A:A,A112,I:I, "&lt;="&amp;I112)</f>
        <v>4242584.3139999993</v>
      </c>
      <c r="K112" s="14">
        <f>J112/H112</f>
        <v>0.55891647983689641</v>
      </c>
      <c r="L112" s="14" t="str">
        <f>IF(K112&lt;=0.7,"А",IF(K112&lt;=0.9,"B","C"))</f>
        <v>А</v>
      </c>
    </row>
    <row r="113" spans="1:12" x14ac:dyDescent="0.2">
      <c r="A113" s="2" t="s">
        <v>47</v>
      </c>
      <c r="B113" t="s">
        <v>16</v>
      </c>
      <c r="C113" s="1">
        <v>6</v>
      </c>
      <c r="D113" s="4">
        <v>1008875.01</v>
      </c>
      <c r="E113" s="4">
        <v>837366.25</v>
      </c>
      <c r="F113" s="4">
        <f>D113-E113</f>
        <v>171508.76</v>
      </c>
      <c r="G113">
        <f>F113*0.7+D113*0.3</f>
        <v>422718.63499999995</v>
      </c>
      <c r="H113">
        <f>SUMIF(A:A,A113,G:G)</f>
        <v>7590730.3989999993</v>
      </c>
      <c r="I113">
        <f>COUNTIFS(A:A, A113,G:G, "&gt;="&amp;G113)</f>
        <v>6</v>
      </c>
      <c r="J113">
        <f>SUMIFS(G:G,A:A,A113,I:I, "&lt;="&amp;I113)</f>
        <v>4665302.9489999991</v>
      </c>
      <c r="K113" s="14">
        <f>J113/H113</f>
        <v>0.61460527561545397</v>
      </c>
      <c r="L113" s="14" t="str">
        <f>IF(K113&lt;=0.7,"А",IF(K113&lt;=0.9,"B","C"))</f>
        <v>А</v>
      </c>
    </row>
    <row r="114" spans="1:12" x14ac:dyDescent="0.2">
      <c r="A114" s="2" t="s">
        <v>47</v>
      </c>
      <c r="B114" t="s">
        <v>43</v>
      </c>
      <c r="C114" s="1">
        <v>15</v>
      </c>
      <c r="D114" s="4">
        <v>800133.87</v>
      </c>
      <c r="E114" s="4">
        <v>624104.36</v>
      </c>
      <c r="F114" s="4">
        <f>D114-E114</f>
        <v>176029.51</v>
      </c>
      <c r="G114">
        <f>F114*0.7+D114*0.3</f>
        <v>363260.81799999997</v>
      </c>
      <c r="H114">
        <f>SUMIF(A:A,A114,G:G)</f>
        <v>7590730.3989999993</v>
      </c>
      <c r="I114">
        <f>COUNTIFS(A:A, A114,G:G, "&gt;="&amp;G114)</f>
        <v>7</v>
      </c>
      <c r="J114">
        <f>SUMIFS(G:G,A:A,A114,I:I, "&lt;="&amp;I114)</f>
        <v>5028563.7669999991</v>
      </c>
      <c r="K114" s="14">
        <f>J114/H114</f>
        <v>0.66246112069300478</v>
      </c>
      <c r="L114" s="14" t="str">
        <f>IF(K114&lt;=0.7,"А",IF(K114&lt;=0.9,"B","C"))</f>
        <v>А</v>
      </c>
    </row>
    <row r="115" spans="1:12" x14ac:dyDescent="0.2">
      <c r="A115" s="2" t="s">
        <v>47</v>
      </c>
      <c r="B115" t="s">
        <v>12</v>
      </c>
      <c r="C115" s="1">
        <v>8</v>
      </c>
      <c r="D115" s="4">
        <v>713500</v>
      </c>
      <c r="E115" s="4">
        <v>556530</v>
      </c>
      <c r="F115" s="4">
        <f>D115-E115</f>
        <v>156970</v>
      </c>
      <c r="G115">
        <f>F115*0.7+D115*0.3</f>
        <v>323929</v>
      </c>
      <c r="H115">
        <f>SUMIF(A:A,A115,G:G)</f>
        <v>7590730.3989999993</v>
      </c>
      <c r="I115">
        <f>COUNTIFS(A:A, A115,G:G, "&gt;="&amp;G115)</f>
        <v>8</v>
      </c>
      <c r="J115">
        <f>SUMIFS(G:G,A:A,A115,I:I, "&lt;="&amp;I115)</f>
        <v>5352492.7669999991</v>
      </c>
      <c r="K115" s="14">
        <f>J115/H115</f>
        <v>0.70513540669355546</v>
      </c>
      <c r="L115" s="14" t="str">
        <f>IF(K115&lt;=0.7,"А",IF(K115&lt;=0.9,"B","C"))</f>
        <v>B</v>
      </c>
    </row>
    <row r="116" spans="1:12" x14ac:dyDescent="0.2">
      <c r="A116" s="2" t="s">
        <v>47</v>
      </c>
      <c r="B116" t="s">
        <v>42</v>
      </c>
      <c r="C116" s="1">
        <v>12</v>
      </c>
      <c r="D116" s="4">
        <v>638732.11</v>
      </c>
      <c r="E116" s="4">
        <v>498211</v>
      </c>
      <c r="F116" s="4">
        <f>D116-E116</f>
        <v>140521.10999999999</v>
      </c>
      <c r="G116">
        <f>F116*0.7+D116*0.3</f>
        <v>289984.40999999997</v>
      </c>
      <c r="H116">
        <f>SUMIF(A:A,A116,G:G)</f>
        <v>7590730.3989999993</v>
      </c>
      <c r="I116">
        <f>COUNTIFS(A:A, A116,G:G, "&gt;="&amp;G116)</f>
        <v>9</v>
      </c>
      <c r="J116">
        <f>SUMIFS(G:G,A:A,A116,I:I, "&lt;="&amp;I116)</f>
        <v>5642477.1769999992</v>
      </c>
      <c r="K116" s="14">
        <f>J116/H116</f>
        <v>0.74333784503047795</v>
      </c>
      <c r="L116" s="14" t="str">
        <f>IF(K116&lt;=0.7,"А",IF(K116&lt;=0.9,"B","C"))</f>
        <v>B</v>
      </c>
    </row>
    <row r="117" spans="1:12" x14ac:dyDescent="0.2">
      <c r="A117" s="2" t="s">
        <v>47</v>
      </c>
      <c r="B117" t="s">
        <v>22</v>
      </c>
      <c r="C117" s="1">
        <v>4</v>
      </c>
      <c r="D117" s="4">
        <v>712464.28</v>
      </c>
      <c r="E117" s="4">
        <v>635363.39</v>
      </c>
      <c r="F117" s="4">
        <f>D117-E117</f>
        <v>77100.890000000014</v>
      </c>
      <c r="G117">
        <f>F117*0.7+D117*0.3</f>
        <v>267709.90700000001</v>
      </c>
      <c r="H117">
        <f>SUMIF(A:A,A117,G:G)</f>
        <v>7590730.3989999993</v>
      </c>
      <c r="I117">
        <f>COUNTIFS(A:A, A117,G:G, "&gt;="&amp;G117)</f>
        <v>10</v>
      </c>
      <c r="J117">
        <f>SUMIFS(G:G,A:A,A117,I:I, "&lt;="&amp;I117)</f>
        <v>5910187.0839999989</v>
      </c>
      <c r="K117" s="14">
        <f>J117/H117</f>
        <v>0.77860584862539783</v>
      </c>
      <c r="L117" s="14" t="str">
        <f>IF(K117&lt;=0.7,"А",IF(K117&lt;=0.9,"B","C"))</f>
        <v>B</v>
      </c>
    </row>
    <row r="118" spans="1:12" x14ac:dyDescent="0.2">
      <c r="A118" s="2" t="s">
        <v>47</v>
      </c>
      <c r="B118" t="s">
        <v>4</v>
      </c>
      <c r="C118" s="1">
        <v>6</v>
      </c>
      <c r="D118" s="4">
        <v>263339.28999999998</v>
      </c>
      <c r="E118" s="4">
        <v>134151.54</v>
      </c>
      <c r="F118" s="4">
        <f>D118-E118</f>
        <v>129187.74999999997</v>
      </c>
      <c r="G118">
        <f>F118*0.7+D118*0.3</f>
        <v>169433.21199999997</v>
      </c>
      <c r="H118">
        <f>SUMIF(A:A,A118,G:G)</f>
        <v>7590730.3989999993</v>
      </c>
      <c r="I118">
        <f>COUNTIFS(A:A, A118,G:G, "&gt;="&amp;G118)</f>
        <v>11</v>
      </c>
      <c r="J118">
        <f>SUMIFS(G:G,A:A,A118,I:I, "&lt;="&amp;I118)</f>
        <v>6079620.2959999992</v>
      </c>
      <c r="K118" s="14">
        <f>J118/H118</f>
        <v>0.80092691696716389</v>
      </c>
      <c r="L118" s="14" t="str">
        <f>IF(K118&lt;=0.7,"А",IF(K118&lt;=0.9,"B","C"))</f>
        <v>B</v>
      </c>
    </row>
    <row r="119" spans="1:12" x14ac:dyDescent="0.2">
      <c r="A119" s="2" t="s">
        <v>47</v>
      </c>
      <c r="B119" t="s">
        <v>21</v>
      </c>
      <c r="C119" s="1">
        <v>1</v>
      </c>
      <c r="D119" s="4">
        <v>330258.93</v>
      </c>
      <c r="E119" s="4">
        <v>250996.79</v>
      </c>
      <c r="F119" s="4">
        <f>D119-E119</f>
        <v>79262.139999999985</v>
      </c>
      <c r="G119">
        <f>F119*0.7+D119*0.3</f>
        <v>154561.17699999997</v>
      </c>
      <c r="H119">
        <f>SUMIF(A:A,A119,G:G)</f>
        <v>7590730.3989999993</v>
      </c>
      <c r="I119">
        <f>COUNTIFS(A:A, A119,G:G, "&gt;="&amp;G119)</f>
        <v>12</v>
      </c>
      <c r="J119">
        <f>SUMIFS(G:G,A:A,A119,I:I, "&lt;="&amp;I119)</f>
        <v>6234181.4729999993</v>
      </c>
      <c r="K119" s="14">
        <f>J119/H119</f>
        <v>0.82128874894849235</v>
      </c>
      <c r="L119" s="14" t="str">
        <f>IF(K119&lt;=0.7,"А",IF(K119&lt;=0.9,"B","C"))</f>
        <v>B</v>
      </c>
    </row>
    <row r="120" spans="1:12" x14ac:dyDescent="0.2">
      <c r="A120" s="2" t="s">
        <v>47</v>
      </c>
      <c r="B120" t="s">
        <v>17</v>
      </c>
      <c r="C120" s="1">
        <v>1</v>
      </c>
      <c r="D120" s="4">
        <v>339276.79</v>
      </c>
      <c r="E120" s="4">
        <v>281599.74</v>
      </c>
      <c r="F120" s="4">
        <f>D120-E120</f>
        <v>57677.049999999988</v>
      </c>
      <c r="G120">
        <f>F120*0.7+D120*0.3</f>
        <v>142156.97199999998</v>
      </c>
      <c r="H120">
        <f>SUMIF(A:A,A120,G:G)</f>
        <v>7590730.3989999993</v>
      </c>
      <c r="I120">
        <f>COUNTIFS(A:A, A120,G:G, "&gt;="&amp;G120)</f>
        <v>13</v>
      </c>
      <c r="J120">
        <f>SUMIFS(G:G,A:A,A120,I:I, "&lt;="&amp;I120)</f>
        <v>6376338.4449999994</v>
      </c>
      <c r="K120" s="14">
        <f>J120/H120</f>
        <v>0.84001645557587135</v>
      </c>
      <c r="L120" s="14" t="str">
        <f>IF(K120&lt;=0.7,"А",IF(K120&lt;=0.9,"B","C"))</f>
        <v>B</v>
      </c>
    </row>
    <row r="121" spans="1:12" x14ac:dyDescent="0.2">
      <c r="A121" s="2" t="s">
        <v>47</v>
      </c>
      <c r="B121" t="s">
        <v>15</v>
      </c>
      <c r="C121" s="1">
        <v>2</v>
      </c>
      <c r="D121" s="4">
        <v>339267.86</v>
      </c>
      <c r="E121" s="4">
        <v>281592.32000000001</v>
      </c>
      <c r="F121" s="4">
        <f>D121-E121</f>
        <v>57675.539999999979</v>
      </c>
      <c r="G121">
        <f>F121*0.7+D121*0.3</f>
        <v>142153.23599999998</v>
      </c>
      <c r="H121">
        <f>SUMIF(A:A,A121,G:G)</f>
        <v>7590730.3989999993</v>
      </c>
      <c r="I121">
        <f>COUNTIFS(A:A, A121,G:G, "&gt;="&amp;G121)</f>
        <v>14</v>
      </c>
      <c r="J121">
        <f>SUMIFS(G:G,A:A,A121,I:I, "&lt;="&amp;I121)</f>
        <v>6518491.6809999989</v>
      </c>
      <c r="K121" s="14">
        <f>J121/H121</f>
        <v>0.85874367002399965</v>
      </c>
      <c r="L121" s="14" t="str">
        <f>IF(K121&lt;=0.7,"А",IF(K121&lt;=0.9,"B","C"))</f>
        <v>B</v>
      </c>
    </row>
    <row r="122" spans="1:12" x14ac:dyDescent="0.2">
      <c r="A122" s="2" t="s">
        <v>47</v>
      </c>
      <c r="B122" t="s">
        <v>18</v>
      </c>
      <c r="C122" s="1">
        <v>1</v>
      </c>
      <c r="D122" s="4">
        <v>328919.64</v>
      </c>
      <c r="E122" s="4">
        <v>283360.44</v>
      </c>
      <c r="F122" s="4">
        <f>D122-E122</f>
        <v>45559.200000000012</v>
      </c>
      <c r="G122">
        <f>F122*0.7+D122*0.3</f>
        <v>130567.33200000001</v>
      </c>
      <c r="H122">
        <f>SUMIF(A:A,A122,G:G)</f>
        <v>7590730.3989999993</v>
      </c>
      <c r="I122">
        <f>COUNTIFS(A:A, A122,G:G, "&gt;="&amp;G122)</f>
        <v>15</v>
      </c>
      <c r="J122">
        <f>SUMIFS(G:G,A:A,A122,I:I, "&lt;="&amp;I122)</f>
        <v>6649059.0129999993</v>
      </c>
      <c r="K122" s="14">
        <f>J122/H122</f>
        <v>0.87594456178761726</v>
      </c>
      <c r="L122" s="14" t="str">
        <f>IF(K122&lt;=0.7,"А",IF(K122&lt;=0.9,"B","C"))</f>
        <v>B</v>
      </c>
    </row>
    <row r="123" spans="1:12" x14ac:dyDescent="0.2">
      <c r="A123" s="2" t="s">
        <v>47</v>
      </c>
      <c r="B123" t="s">
        <v>23</v>
      </c>
      <c r="C123" s="1">
        <v>3</v>
      </c>
      <c r="D123" s="4">
        <v>534616.06000000006</v>
      </c>
      <c r="E123" s="4">
        <v>588604.97</v>
      </c>
      <c r="F123" s="4">
        <f>D123-E123</f>
        <v>-53988.909999999916</v>
      </c>
      <c r="G123">
        <f>F123*0.7+D123*0.3</f>
        <v>122592.58100000006</v>
      </c>
      <c r="H123">
        <f>SUMIF(A:A,A123,G:G)</f>
        <v>7590730.3989999993</v>
      </c>
      <c r="I123">
        <f>COUNTIFS(A:A, A123,G:G, "&gt;="&amp;G123)</f>
        <v>16</v>
      </c>
      <c r="J123">
        <f>SUMIFS(G:G,A:A,A123,I:I, "&lt;="&amp;I123)</f>
        <v>6771651.5939999996</v>
      </c>
      <c r="K123" s="14">
        <f>J123/H123</f>
        <v>0.89209486282006478</v>
      </c>
      <c r="L123" s="14" t="str">
        <f>IF(K123&lt;=0.7,"А",IF(K123&lt;=0.9,"B","C"))</f>
        <v>B</v>
      </c>
    </row>
    <row r="124" spans="1:12" x14ac:dyDescent="0.2">
      <c r="A124" s="2" t="s">
        <v>47</v>
      </c>
      <c r="B124" t="s">
        <v>3</v>
      </c>
      <c r="C124" s="1">
        <v>4</v>
      </c>
      <c r="D124" s="4">
        <v>178535.72</v>
      </c>
      <c r="E124" s="4">
        <v>89830.04</v>
      </c>
      <c r="F124" s="4">
        <f>D124-E124</f>
        <v>88705.680000000008</v>
      </c>
      <c r="G124">
        <f>F124*0.7+D124*0.3</f>
        <v>115654.69200000001</v>
      </c>
      <c r="H124">
        <f>SUMIF(A:A,A124,G:G)</f>
        <v>7590730.3989999993</v>
      </c>
      <c r="I124">
        <f>COUNTIFS(A:A, A124,G:G, "&gt;="&amp;G124)</f>
        <v>17</v>
      </c>
      <c r="J124">
        <f>SUMIFS(G:G,A:A,A124,I:I, "&lt;="&amp;I124)</f>
        <v>6887306.2859999994</v>
      </c>
      <c r="K124" s="14">
        <f>J124/H124</f>
        <v>0.90733116893564436</v>
      </c>
      <c r="L124" s="14" t="str">
        <f>IF(K124&lt;=0.7,"А",IF(K124&lt;=0.9,"B","C"))</f>
        <v>C</v>
      </c>
    </row>
    <row r="125" spans="1:12" x14ac:dyDescent="0.2">
      <c r="A125" s="2" t="s">
        <v>47</v>
      </c>
      <c r="B125" t="s">
        <v>20</v>
      </c>
      <c r="C125" s="1">
        <v>1</v>
      </c>
      <c r="D125" s="4">
        <v>278562.5</v>
      </c>
      <c r="E125" s="4">
        <v>233992.5</v>
      </c>
      <c r="F125" s="4">
        <f>D125-E125</f>
        <v>44570</v>
      </c>
      <c r="G125">
        <f>F125*0.7+D125*0.3</f>
        <v>114767.75</v>
      </c>
      <c r="H125">
        <f>SUMIF(A:A,A125,G:G)</f>
        <v>7590730.3989999993</v>
      </c>
      <c r="I125">
        <f>COUNTIFS(A:A, A125,G:G, "&gt;="&amp;G125)</f>
        <v>18</v>
      </c>
      <c r="J125">
        <f>SUMIFS(G:G,A:A,A125,I:I, "&lt;="&amp;I125)</f>
        <v>7002074.0359999994</v>
      </c>
      <c r="K125" s="14">
        <f>J125/H125</f>
        <v>0.922450629641971</v>
      </c>
      <c r="L125" s="14" t="str">
        <f>IF(K125&lt;=0.7,"А",IF(K125&lt;=0.9,"B","C"))</f>
        <v>C</v>
      </c>
    </row>
    <row r="126" spans="1:12" x14ac:dyDescent="0.2">
      <c r="A126" s="2" t="s">
        <v>47</v>
      </c>
      <c r="B126" t="s">
        <v>14</v>
      </c>
      <c r="C126" s="1">
        <v>2</v>
      </c>
      <c r="D126" s="4">
        <v>303553.58</v>
      </c>
      <c r="E126" s="4">
        <v>297431</v>
      </c>
      <c r="F126" s="4">
        <f>D126-E126</f>
        <v>6122.5800000000163</v>
      </c>
      <c r="G126">
        <f>F126*0.7+D126*0.3</f>
        <v>95351.880000000019</v>
      </c>
      <c r="H126">
        <f>SUMIF(A:A,A126,G:G)</f>
        <v>7590730.3989999993</v>
      </c>
      <c r="I126">
        <f>COUNTIFS(A:A, A126,G:G, "&gt;="&amp;G126)</f>
        <v>19</v>
      </c>
      <c r="J126">
        <f>SUMIFS(G:G,A:A,A126,I:I, "&lt;="&amp;I126)</f>
        <v>7097425.9159999993</v>
      </c>
      <c r="K126" s="14">
        <f>J126/H126</f>
        <v>0.93501225085467565</v>
      </c>
      <c r="L126" s="14" t="str">
        <f>IF(K126&lt;=0.7,"А",IF(K126&lt;=0.9,"B","C"))</f>
        <v>C</v>
      </c>
    </row>
    <row r="127" spans="1:12" x14ac:dyDescent="0.2">
      <c r="A127" s="2" t="s">
        <v>47</v>
      </c>
      <c r="B127" t="s">
        <v>19</v>
      </c>
      <c r="C127" s="1">
        <v>1</v>
      </c>
      <c r="D127" s="4">
        <v>214276.79</v>
      </c>
      <c r="E127" s="4">
        <v>173242.86</v>
      </c>
      <c r="F127" s="4">
        <f>D127-E127</f>
        <v>41033.930000000022</v>
      </c>
      <c r="G127">
        <f>F127*0.7+D127*0.3</f>
        <v>93006.788000000015</v>
      </c>
      <c r="H127">
        <f>SUMIF(A:A,A127,G:G)</f>
        <v>7590730.3989999993</v>
      </c>
      <c r="I127">
        <f>COUNTIFS(A:A, A127,G:G, "&gt;="&amp;G127)</f>
        <v>20</v>
      </c>
      <c r="J127">
        <f>SUMIFS(G:G,A:A,A127,I:I, "&lt;="&amp;I127)</f>
        <v>7190432.703999999</v>
      </c>
      <c r="K127" s="14">
        <f>J127/H127</f>
        <v>0.94726493051936933</v>
      </c>
      <c r="L127" s="14" t="str">
        <f>IF(K127&lt;=0.7,"А",IF(K127&lt;=0.9,"B","C"))</f>
        <v>C</v>
      </c>
    </row>
    <row r="128" spans="1:12" x14ac:dyDescent="0.2">
      <c r="A128" s="2" t="s">
        <v>47</v>
      </c>
      <c r="B128" t="s">
        <v>5</v>
      </c>
      <c r="C128" s="1">
        <v>3</v>
      </c>
      <c r="D128" s="4">
        <v>133901.79</v>
      </c>
      <c r="E128" s="4">
        <v>66590.710000000006</v>
      </c>
      <c r="F128" s="4">
        <f>D128-E128</f>
        <v>67311.08</v>
      </c>
      <c r="G128">
        <f>F128*0.7+D128*0.3</f>
        <v>87288.293000000005</v>
      </c>
      <c r="H128">
        <f>SUMIF(A:A,A128,G:G)</f>
        <v>7590730.3989999993</v>
      </c>
      <c r="I128">
        <f>COUNTIFS(A:A, A128,G:G, "&gt;="&amp;G128)</f>
        <v>21</v>
      </c>
      <c r="J128">
        <f>SUMIFS(G:G,A:A,A128,I:I, "&lt;="&amp;I128)</f>
        <v>7277720.9969999986</v>
      </c>
      <c r="K128" s="14">
        <f>J128/H128</f>
        <v>0.9587642577792993</v>
      </c>
      <c r="L128" s="14" t="str">
        <f>IF(K128&lt;=0.7,"А",IF(K128&lt;=0.9,"B","C"))</f>
        <v>C</v>
      </c>
    </row>
    <row r="129" spans="1:12" x14ac:dyDescent="0.2">
      <c r="A129" s="2" t="s">
        <v>47</v>
      </c>
      <c r="B129" t="s">
        <v>38</v>
      </c>
      <c r="C129" s="1">
        <v>3</v>
      </c>
      <c r="D129" s="4">
        <v>193276.78</v>
      </c>
      <c r="E129" s="4">
        <v>162787.62</v>
      </c>
      <c r="F129" s="4">
        <f>D129-E129</f>
        <v>30489.160000000003</v>
      </c>
      <c r="G129">
        <f>F129*0.7+D129*0.3</f>
        <v>79325.445999999996</v>
      </c>
      <c r="H129">
        <f>SUMIF(A:A,A129,G:G)</f>
        <v>7590730.3989999993</v>
      </c>
      <c r="I129">
        <f>COUNTIFS(A:A, A129,G:G, "&gt;="&amp;G129)</f>
        <v>22</v>
      </c>
      <c r="J129">
        <f>SUMIFS(G:G,A:A,A129,I:I, "&lt;="&amp;I129)</f>
        <v>7357046.4429999981</v>
      </c>
      <c r="K129" s="14">
        <f>J129/H129</f>
        <v>0.96921456253659244</v>
      </c>
      <c r="L129" s="14" t="str">
        <f>IF(K129&lt;=0.7,"А",IF(K129&lt;=0.9,"B","C"))</f>
        <v>C</v>
      </c>
    </row>
    <row r="130" spans="1:12" x14ac:dyDescent="0.2">
      <c r="A130" s="2" t="s">
        <v>47</v>
      </c>
      <c r="B130" t="s">
        <v>30</v>
      </c>
      <c r="C130" s="1">
        <v>2</v>
      </c>
      <c r="D130" s="4">
        <v>78553.58</v>
      </c>
      <c r="E130" s="4">
        <v>39647.040000000001</v>
      </c>
      <c r="F130" s="4">
        <f>D130-E130</f>
        <v>38906.54</v>
      </c>
      <c r="G130">
        <f>F130*0.7+D130*0.3</f>
        <v>50800.652000000002</v>
      </c>
      <c r="H130">
        <f>SUMIF(A:A,A130,G:G)</f>
        <v>7590730.3989999993</v>
      </c>
      <c r="I130">
        <f>COUNTIFS(A:A, A130,G:G, "&gt;="&amp;G130)</f>
        <v>23</v>
      </c>
      <c r="J130">
        <f>SUMIFS(G:G,A:A,A130,I:I, "&lt;="&amp;I130)</f>
        <v>7407847.0949999979</v>
      </c>
      <c r="K130" s="14">
        <f>J130/H130</f>
        <v>0.97590702153983833</v>
      </c>
      <c r="L130" s="14" t="str">
        <f>IF(K130&lt;=0.7,"А",IF(K130&lt;=0.9,"B","C"))</f>
        <v>C</v>
      </c>
    </row>
    <row r="131" spans="1:12" x14ac:dyDescent="0.2">
      <c r="A131" s="2" t="s">
        <v>47</v>
      </c>
      <c r="B131" t="s">
        <v>9</v>
      </c>
      <c r="C131" s="1">
        <v>1</v>
      </c>
      <c r="D131" s="4">
        <v>121419.64</v>
      </c>
      <c r="E131" s="4">
        <v>108048.71</v>
      </c>
      <c r="F131" s="4">
        <f>D131-E131</f>
        <v>13370.929999999993</v>
      </c>
      <c r="G131">
        <f>F131*0.7+D131*0.3</f>
        <v>45785.542999999991</v>
      </c>
      <c r="H131">
        <f>SUMIF(A:A,A131,G:G)</f>
        <v>7590730.3989999993</v>
      </c>
      <c r="I131">
        <f>COUNTIFS(A:A, A131,G:G, "&gt;="&amp;G131)</f>
        <v>24</v>
      </c>
      <c r="J131">
        <f>SUMIFS(G:G,A:A,A131,I:I, "&lt;="&amp;I131)</f>
        <v>7453632.6379999975</v>
      </c>
      <c r="K131" s="14">
        <f>J131/H131</f>
        <v>0.98193879194839229</v>
      </c>
      <c r="L131" s="14" t="str">
        <f>IF(K131&lt;=0.7,"А",IF(K131&lt;=0.9,"B","C"))</f>
        <v>C</v>
      </c>
    </row>
    <row r="132" spans="1:12" x14ac:dyDescent="0.2">
      <c r="A132" s="2" t="s">
        <v>47</v>
      </c>
      <c r="B132" t="s">
        <v>8</v>
      </c>
      <c r="C132" s="1">
        <v>1</v>
      </c>
      <c r="D132" s="4">
        <v>75883.929999999993</v>
      </c>
      <c r="E132" s="4">
        <v>57546.36</v>
      </c>
      <c r="F132" s="4">
        <f>D132-E132</f>
        <v>18337.569999999992</v>
      </c>
      <c r="G132">
        <f>F132*0.7+D132*0.3</f>
        <v>35601.477999999988</v>
      </c>
      <c r="H132">
        <f>SUMIF(A:A,A132,G:G)</f>
        <v>7590730.3989999993</v>
      </c>
      <c r="I132">
        <f>COUNTIFS(A:A, A132,G:G, "&gt;="&amp;G132)</f>
        <v>25</v>
      </c>
      <c r="J132">
        <f>SUMIFS(G:G,A:A,A132,I:I, "&lt;="&amp;I132)</f>
        <v>7489234.1159999976</v>
      </c>
      <c r="K132" s="14">
        <f>J132/H132</f>
        <v>0.98662891742099379</v>
      </c>
      <c r="L132" s="14" t="str">
        <f>IF(K132&lt;=0.7,"А",IF(K132&lt;=0.9,"B","C"))</f>
        <v>C</v>
      </c>
    </row>
    <row r="133" spans="1:12" x14ac:dyDescent="0.2">
      <c r="A133" s="2" t="s">
        <v>47</v>
      </c>
      <c r="B133" t="s">
        <v>6</v>
      </c>
      <c r="C133" s="1">
        <v>1</v>
      </c>
      <c r="D133" s="4">
        <v>84812.5</v>
      </c>
      <c r="E133" s="4">
        <v>71071.839999999997</v>
      </c>
      <c r="F133" s="4">
        <f>D133-E133</f>
        <v>13740.660000000003</v>
      </c>
      <c r="G133">
        <f>F133*0.7+D133*0.3</f>
        <v>35062.212</v>
      </c>
      <c r="H133">
        <f>SUMIF(A:A,A133,G:G)</f>
        <v>7590730.3989999993</v>
      </c>
      <c r="I133">
        <f>COUNTIFS(A:A, A133,G:G, "&gt;="&amp;G133)</f>
        <v>26</v>
      </c>
      <c r="J133">
        <f>SUMIFS(G:G,A:A,A133,I:I, "&lt;="&amp;I133)</f>
        <v>7524296.3279999979</v>
      </c>
      <c r="K133" s="14">
        <f>J133/H133</f>
        <v>0.99124800019129211</v>
      </c>
      <c r="L133" s="14" t="str">
        <f>IF(K133&lt;=0.7,"А",IF(K133&lt;=0.9,"B","C"))</f>
        <v>C</v>
      </c>
    </row>
    <row r="134" spans="1:12" x14ac:dyDescent="0.2">
      <c r="A134" s="2" t="s">
        <v>47</v>
      </c>
      <c r="B134" t="s">
        <v>28</v>
      </c>
      <c r="C134" s="1">
        <v>3</v>
      </c>
      <c r="D134" s="4">
        <v>62205.36</v>
      </c>
      <c r="E134" s="4">
        <v>39700.94</v>
      </c>
      <c r="F134" s="4">
        <f>D134-E134</f>
        <v>22504.42</v>
      </c>
      <c r="G134">
        <f>F134*0.7+D134*0.3</f>
        <v>34414.701999999997</v>
      </c>
      <c r="H134">
        <f>SUMIF(A:A,A134,G:G)</f>
        <v>7590730.3989999993</v>
      </c>
      <c r="I134">
        <f>COUNTIFS(A:A, A134,G:G, "&gt;="&amp;G134)</f>
        <v>27</v>
      </c>
      <c r="J134">
        <f>SUMIFS(G:G,A:A,A134,I:I, "&lt;="&amp;I134)</f>
        <v>7558711.0299999975</v>
      </c>
      <c r="K134" s="14">
        <f>J134/H134</f>
        <v>0.99578178023497976</v>
      </c>
      <c r="L134" s="14" t="str">
        <f>IF(K134&lt;=0.7,"А",IF(K134&lt;=0.9,"B","C"))</f>
        <v>C</v>
      </c>
    </row>
    <row r="135" spans="1:12" x14ac:dyDescent="0.2">
      <c r="A135" s="2" t="s">
        <v>47</v>
      </c>
      <c r="B135" t="s">
        <v>39</v>
      </c>
      <c r="C135" s="1">
        <v>1</v>
      </c>
      <c r="D135" s="4">
        <v>80348.210000000006</v>
      </c>
      <c r="E135" s="4">
        <v>67356.84</v>
      </c>
      <c r="F135" s="4">
        <f>D135-E135</f>
        <v>12991.37000000001</v>
      </c>
      <c r="G135">
        <f>F135*0.7+D135*0.3</f>
        <v>33198.422000000006</v>
      </c>
      <c r="H135">
        <f>SUMIF(A:A,A135,G:G)</f>
        <v>7590730.3989999993</v>
      </c>
      <c r="I135">
        <f>COUNTIFS(A:A, A135,G:G, "&gt;="&amp;G135)</f>
        <v>28</v>
      </c>
      <c r="J135">
        <f>SUMIFS(G:G,A:A,A135,I:I, "&lt;="&amp;I135)</f>
        <v>7591909.4519999977</v>
      </c>
      <c r="K135" s="14">
        <f>J135/H135</f>
        <v>1.0001553280037654</v>
      </c>
      <c r="L135" s="14" t="str">
        <f>IF(K135&lt;=0.7,"А",IF(K135&lt;=0.9,"B","C"))</f>
        <v>C</v>
      </c>
    </row>
    <row r="136" spans="1:12" x14ac:dyDescent="0.2">
      <c r="A136" s="2" t="s">
        <v>47</v>
      </c>
      <c r="B136" t="s">
        <v>44</v>
      </c>
      <c r="C136" s="1">
        <v>1</v>
      </c>
      <c r="D136" s="4">
        <v>80348.210000000006</v>
      </c>
      <c r="E136" s="4">
        <v>68803.570000000007</v>
      </c>
      <c r="F136" s="4">
        <f>D136-E136</f>
        <v>11544.64</v>
      </c>
      <c r="G136">
        <f>F136*0.7+D136*0.3</f>
        <v>32185.710999999999</v>
      </c>
      <c r="H136">
        <f>SUMIF(A:A,A136,G:G)</f>
        <v>7590730.3989999993</v>
      </c>
      <c r="I136">
        <f>COUNTIFS(A:A, A136,G:G, "&gt;="&amp;G136)</f>
        <v>29</v>
      </c>
      <c r="J136">
        <f>SUMIFS(G:G,A:A,A136,I:I, "&lt;="&amp;I136)</f>
        <v>7624095.1629999978</v>
      </c>
      <c r="K136" s="14">
        <f>J136/H136</f>
        <v>1.0043954616020079</v>
      </c>
      <c r="L136" s="14" t="str">
        <f>IF(K136&lt;=0.7,"А",IF(K136&lt;=0.9,"B","C"))</f>
        <v>C</v>
      </c>
    </row>
    <row r="137" spans="1:12" x14ac:dyDescent="0.2">
      <c r="A137" s="13" t="s">
        <v>47</v>
      </c>
      <c r="B137" t="s">
        <v>46</v>
      </c>
      <c r="C137" s="1">
        <v>1</v>
      </c>
      <c r="D137" s="4">
        <v>98116.07</v>
      </c>
      <c r="E137" s="4">
        <v>99808.87</v>
      </c>
      <c r="F137" s="4">
        <f>D137-E137</f>
        <v>-1692.7999999999884</v>
      </c>
      <c r="G137">
        <f>F137*0.7+D137*0.3</f>
        <v>28249.861000000008</v>
      </c>
      <c r="H137">
        <f>SUMIF(A:A,A137,G:G)</f>
        <v>7590730.3989999993</v>
      </c>
      <c r="I137">
        <f>COUNTIFS(A:A, A137,G:G, "&gt;="&amp;G137)</f>
        <v>30</v>
      </c>
      <c r="J137">
        <f>SUMIFS(G:G,A:A,A137,I:I, "&lt;="&amp;I137)</f>
        <v>7652345.0239999974</v>
      </c>
      <c r="K137" s="14">
        <f>J137/H137</f>
        <v>1.0081170877848744</v>
      </c>
      <c r="L137" s="14" t="str">
        <f>IF(K137&lt;=0.7,"А",IF(K137&lt;=0.9,"B","C"))</f>
        <v>C</v>
      </c>
    </row>
    <row r="138" spans="1:12" x14ac:dyDescent="0.2">
      <c r="A138" s="2" t="s">
        <v>47</v>
      </c>
      <c r="B138" t="s">
        <v>45</v>
      </c>
      <c r="C138" s="1">
        <v>1</v>
      </c>
      <c r="D138" s="4">
        <v>62491.07</v>
      </c>
      <c r="E138" s="4">
        <v>49404.09</v>
      </c>
      <c r="F138" s="4">
        <f>D138-E138</f>
        <v>13086.980000000003</v>
      </c>
      <c r="G138">
        <f>F138*0.7+D138*0.3</f>
        <v>27908.207000000002</v>
      </c>
      <c r="H138">
        <f>SUMIF(A:A,A138,G:G)</f>
        <v>7590730.3989999993</v>
      </c>
      <c r="I138">
        <f>COUNTIFS(A:A, A138,G:G, "&gt;="&amp;G138)</f>
        <v>31</v>
      </c>
      <c r="J138">
        <f>SUMIFS(G:G,A:A,A138,I:I, "&lt;="&amp;I138)</f>
        <v>7680253.2309999978</v>
      </c>
      <c r="K138" s="14">
        <f>J138/H138</f>
        <v>1.0117937045968319</v>
      </c>
      <c r="L138" s="14" t="str">
        <f>IF(K138&lt;=0.7,"А",IF(K138&lt;=0.9,"B","C"))</f>
        <v>C</v>
      </c>
    </row>
    <row r="139" spans="1:12" x14ac:dyDescent="0.2">
      <c r="A139" s="2" t="s">
        <v>47</v>
      </c>
      <c r="B139" t="s">
        <v>33</v>
      </c>
      <c r="C139" s="1">
        <v>1</v>
      </c>
      <c r="D139" s="4">
        <v>52937.5</v>
      </c>
      <c r="E139" s="4">
        <v>40078.35</v>
      </c>
      <c r="F139" s="4">
        <f>D139-E139</f>
        <v>12859.150000000001</v>
      </c>
      <c r="G139">
        <f>F139*0.7+D139*0.3</f>
        <v>24882.654999999999</v>
      </c>
      <c r="H139">
        <f>SUMIF(A:A,A139,G:G)</f>
        <v>7590730.3989999993</v>
      </c>
      <c r="I139">
        <f>COUNTIFS(A:A, A139,G:G, "&gt;="&amp;G139)</f>
        <v>32</v>
      </c>
      <c r="J139">
        <f>SUMIFS(G:G,A:A,A139,I:I, "&lt;="&amp;I139)</f>
        <v>7705135.8859999981</v>
      </c>
      <c r="K139" s="14">
        <f>J139/H139</f>
        <v>1.0150717363134212</v>
      </c>
      <c r="L139" s="14" t="str">
        <f>IF(K139&lt;=0.7,"А",IF(K139&lt;=0.9,"B","C"))</f>
        <v>C</v>
      </c>
    </row>
    <row r="140" spans="1:12" x14ac:dyDescent="0.2">
      <c r="A140" s="2" t="s">
        <v>47</v>
      </c>
      <c r="B140" t="s">
        <v>37</v>
      </c>
      <c r="C140" s="1">
        <v>2</v>
      </c>
      <c r="D140" s="4">
        <v>38821.43</v>
      </c>
      <c r="E140" s="4">
        <v>23376.959999999999</v>
      </c>
      <c r="F140" s="4">
        <f>D140-E140</f>
        <v>15444.470000000001</v>
      </c>
      <c r="G140">
        <f>F140*0.7+D140*0.3</f>
        <v>22457.558000000001</v>
      </c>
      <c r="H140">
        <f>SUMIF(A:A,A140,G:G)</f>
        <v>7590730.3989999993</v>
      </c>
      <c r="I140">
        <f>COUNTIFS(A:A, A140,G:G, "&gt;="&amp;G140)</f>
        <v>33</v>
      </c>
      <c r="J140">
        <f>SUMIFS(G:G,A:A,A140,I:I, "&lt;="&amp;I140)</f>
        <v>7727593.4439999983</v>
      </c>
      <c r="K140" s="14">
        <f>J140/H140</f>
        <v>1.0180302866530511</v>
      </c>
      <c r="L140" s="14" t="str">
        <f>IF(K140&lt;=0.7,"А",IF(K140&lt;=0.9,"B","C"))</f>
        <v>C</v>
      </c>
    </row>
    <row r="141" spans="1:12" x14ac:dyDescent="0.2">
      <c r="A141" s="2" t="s">
        <v>47</v>
      </c>
      <c r="B141" t="s">
        <v>7</v>
      </c>
      <c r="C141" s="1">
        <v>1</v>
      </c>
      <c r="D141" s="4">
        <v>62491.07</v>
      </c>
      <c r="E141" s="4">
        <v>58933.15</v>
      </c>
      <c r="F141" s="4">
        <f>D141-E141</f>
        <v>3557.9199999999983</v>
      </c>
      <c r="G141">
        <f>F141*0.7+D141*0.3</f>
        <v>21237.864999999998</v>
      </c>
      <c r="H141">
        <f>SUMIF(A:A,A141,G:G)</f>
        <v>7590730.3989999993</v>
      </c>
      <c r="I141">
        <f>COUNTIFS(A:A, A141,G:G, "&gt;="&amp;G141)</f>
        <v>34</v>
      </c>
      <c r="J141">
        <f>SUMIFS(G:G,A:A,A141,I:I, "&lt;="&amp;I141)</f>
        <v>7748831.3089999985</v>
      </c>
      <c r="K141" s="14">
        <f>J141/H141</f>
        <v>1.0208281550904281</v>
      </c>
      <c r="L141" s="14" t="str">
        <f>IF(K141&lt;=0.7,"А",IF(K141&lt;=0.9,"B","C"))</f>
        <v>C</v>
      </c>
    </row>
    <row r="142" spans="1:12" x14ac:dyDescent="0.2">
      <c r="A142" s="2" t="s">
        <v>47</v>
      </c>
      <c r="B142" t="s">
        <v>36</v>
      </c>
      <c r="C142" s="1">
        <v>1</v>
      </c>
      <c r="D142" s="4">
        <v>35705.360000000001</v>
      </c>
      <c r="E142" s="4">
        <v>21653.82</v>
      </c>
      <c r="F142" s="4">
        <f>D142-E142</f>
        <v>14051.54</v>
      </c>
      <c r="G142">
        <f>F142*0.7+D142*0.3</f>
        <v>20547.686000000002</v>
      </c>
      <c r="H142">
        <f>SUMIF(A:A,A142,G:G)</f>
        <v>7590730.3989999993</v>
      </c>
      <c r="I142">
        <f>COUNTIFS(A:A, A142,G:G, "&gt;="&amp;G142)</f>
        <v>35</v>
      </c>
      <c r="J142">
        <f>SUMIFS(G:G,A:A,A142,I:I, "&lt;="&amp;I142)</f>
        <v>7769378.9949999982</v>
      </c>
      <c r="K142" s="14">
        <f>J142/H142</f>
        <v>1.0235350996030019</v>
      </c>
      <c r="L142" s="14" t="str">
        <f>IF(K142&lt;=0.7,"А",IF(K142&lt;=0.9,"B","C"))</f>
        <v>C</v>
      </c>
    </row>
    <row r="143" spans="1:12" x14ac:dyDescent="0.2">
      <c r="A143" s="2" t="s">
        <v>47</v>
      </c>
      <c r="B143" t="s">
        <v>32</v>
      </c>
      <c r="C143" s="1">
        <v>1</v>
      </c>
      <c r="D143" s="4">
        <v>44633.93</v>
      </c>
      <c r="E143" s="4">
        <v>35403.449999999997</v>
      </c>
      <c r="F143" s="4">
        <f>D143-E143</f>
        <v>9230.4800000000032</v>
      </c>
      <c r="G143">
        <f>F143*0.7+D143*0.3</f>
        <v>19851.515000000003</v>
      </c>
      <c r="H143">
        <f>SUMIF(A:A,A143,G:G)</f>
        <v>7590730.3989999993</v>
      </c>
      <c r="I143">
        <f>COUNTIFS(A:A, A143,G:G, "&gt;="&amp;G143)</f>
        <v>36</v>
      </c>
      <c r="J143">
        <f>SUMIFS(G:G,A:A,A143,I:I, "&lt;="&amp;I143)</f>
        <v>7789230.5099999979</v>
      </c>
      <c r="K143" s="14">
        <f>J143/H143</f>
        <v>1.0261503308069206</v>
      </c>
      <c r="L143" s="14" t="str">
        <f>IF(K143&lt;=0.7,"А",IF(K143&lt;=0.9,"B","C"))</f>
        <v>C</v>
      </c>
    </row>
    <row r="144" spans="1:12" x14ac:dyDescent="0.2">
      <c r="A144" s="2" t="s">
        <v>47</v>
      </c>
      <c r="B144" t="s">
        <v>31</v>
      </c>
      <c r="C144" s="1">
        <v>1</v>
      </c>
      <c r="D144" s="4">
        <v>44633.93</v>
      </c>
      <c r="E144" s="4">
        <v>35721.82</v>
      </c>
      <c r="F144" s="4">
        <f>D144-E144</f>
        <v>8912.11</v>
      </c>
      <c r="G144">
        <f>F144*0.7+D144*0.3</f>
        <v>19628.655999999999</v>
      </c>
      <c r="H144">
        <f>SUMIF(A:A,A144,G:G)</f>
        <v>7590730.3989999993</v>
      </c>
      <c r="I144">
        <f>COUNTIFS(A:A, A144,G:G, "&gt;="&amp;G144)</f>
        <v>37</v>
      </c>
      <c r="J144">
        <f>SUMIFS(G:G,A:A,A144,I:I, "&lt;="&amp;I144)</f>
        <v>7808859.1659999983</v>
      </c>
      <c r="K144" s="14">
        <f>J144/H144</f>
        <v>1.0287362026490541</v>
      </c>
      <c r="L144" s="14" t="str">
        <f>IF(K144&lt;=0.7,"А",IF(K144&lt;=0.9,"B","C"))</f>
        <v>C</v>
      </c>
    </row>
    <row r="145" spans="1:12" x14ac:dyDescent="0.2">
      <c r="A145" s="2" t="s">
        <v>47</v>
      </c>
      <c r="B145" t="s">
        <v>27</v>
      </c>
      <c r="C145" s="1">
        <v>1</v>
      </c>
      <c r="D145" s="4">
        <v>44633.93</v>
      </c>
      <c r="E145" s="4">
        <v>35904.230000000003</v>
      </c>
      <c r="F145" s="4">
        <f>D145-E145</f>
        <v>8729.6999999999971</v>
      </c>
      <c r="G145">
        <f>F145*0.7+D145*0.3</f>
        <v>19500.968999999997</v>
      </c>
      <c r="H145">
        <f>SUMIF(A:A,A145,G:G)</f>
        <v>7590730.3989999993</v>
      </c>
      <c r="I145">
        <f>COUNTIFS(A:A, A145,G:G, "&gt;="&amp;G145)</f>
        <v>38</v>
      </c>
      <c r="J145">
        <f>SUMIFS(G:G,A:A,A145,I:I, "&lt;="&amp;I145)</f>
        <v>7828360.1349999979</v>
      </c>
      <c r="K145" s="14">
        <f>J145/H145</f>
        <v>1.0313052530532905</v>
      </c>
      <c r="L145" s="14" t="str">
        <f>IF(K145&lt;=0.7,"А",IF(K145&lt;=0.9,"B","C"))</f>
        <v>C</v>
      </c>
    </row>
    <row r="146" spans="1:12" x14ac:dyDescent="0.2">
      <c r="A146" s="2" t="s">
        <v>47</v>
      </c>
      <c r="B146" t="s">
        <v>35</v>
      </c>
      <c r="C146" s="1">
        <v>1</v>
      </c>
      <c r="D146" s="4">
        <v>62491.07</v>
      </c>
      <c r="E146" s="4">
        <v>61629.03</v>
      </c>
      <c r="F146" s="4">
        <f>D146-E146</f>
        <v>862.04000000000087</v>
      </c>
      <c r="G146">
        <f>F146*0.7+D146*0.3</f>
        <v>19350.749</v>
      </c>
      <c r="H146">
        <f>SUMIF(A:A,A146,G:G)</f>
        <v>7590730.3989999993</v>
      </c>
      <c r="I146">
        <f>COUNTIFS(A:A, A146,G:G, "&gt;="&amp;G146)</f>
        <v>39</v>
      </c>
      <c r="J146">
        <f>SUMIFS(G:G,A:A,A146,I:I, "&lt;="&amp;I146)</f>
        <v>7847710.8839999977</v>
      </c>
      <c r="K146" s="14">
        <f>J146/H146</f>
        <v>1.033854513530589</v>
      </c>
      <c r="L146" s="14" t="str">
        <f>IF(K146&lt;=0.7,"А",IF(K146&lt;=0.9,"B","C"))</f>
        <v>C</v>
      </c>
    </row>
    <row r="147" spans="1:12" x14ac:dyDescent="0.2">
      <c r="A147" s="2" t="s">
        <v>47</v>
      </c>
      <c r="B147" t="s">
        <v>29</v>
      </c>
      <c r="C147" s="1">
        <v>1</v>
      </c>
      <c r="D147" s="4">
        <v>43741.07</v>
      </c>
      <c r="E147" s="4">
        <v>37970.53</v>
      </c>
      <c r="F147" s="4">
        <f>D147-E147</f>
        <v>5770.5400000000009</v>
      </c>
      <c r="G147">
        <f>F147*0.7+D147*0.3</f>
        <v>17161.699000000001</v>
      </c>
      <c r="H147">
        <f>SUMIF(A:A,A147,G:G)</f>
        <v>7590730.3989999993</v>
      </c>
      <c r="I147">
        <f>COUNTIFS(A:A, A147,G:G, "&gt;="&amp;G147)</f>
        <v>40</v>
      </c>
      <c r="J147">
        <f>SUMIFS(G:G,A:A,A147,I:I, "&lt;="&amp;I147)</f>
        <v>7864872.5829999978</v>
      </c>
      <c r="K147" s="14">
        <f>J147/H147</f>
        <v>1.0361153893749295</v>
      </c>
      <c r="L147" s="14" t="str">
        <f>IF(K147&lt;=0.7,"А",IF(K147&lt;=0.9,"B","C"))</f>
        <v>C</v>
      </c>
    </row>
    <row r="148" spans="1:12" x14ac:dyDescent="0.2">
      <c r="A148" s="2" t="s">
        <v>47</v>
      </c>
      <c r="B148" t="s">
        <v>25</v>
      </c>
      <c r="C148" s="1">
        <v>1</v>
      </c>
      <c r="D148" s="4">
        <v>26687.5</v>
      </c>
      <c r="E148" s="4">
        <v>30318</v>
      </c>
      <c r="F148" s="4">
        <f>D148-E148</f>
        <v>-3630.5</v>
      </c>
      <c r="G148">
        <f>F148*0.7+D148*0.3</f>
        <v>5464.9</v>
      </c>
      <c r="H148">
        <f>SUMIF(A:A,A148,G:G)</f>
        <v>7590730.3989999993</v>
      </c>
      <c r="I148">
        <f>COUNTIFS(A:A, A148,G:G, "&gt;="&amp;G148)</f>
        <v>41</v>
      </c>
      <c r="J148">
        <f>SUMIFS(G:G,A:A,A148,I:I, "&lt;="&amp;I148)</f>
        <v>7870337.4829999981</v>
      </c>
      <c r="K148" s="14">
        <f>J148/H148</f>
        <v>1.0368353332686977</v>
      </c>
      <c r="L148" s="14" t="str">
        <f>IF(K148&lt;=0.7,"А",IF(K148&lt;=0.9,"B","C"))</f>
        <v>C</v>
      </c>
    </row>
    <row r="149" spans="1:12" x14ac:dyDescent="0.2">
      <c r="A149" s="2" t="s">
        <v>47</v>
      </c>
      <c r="B149" t="s">
        <v>24</v>
      </c>
      <c r="C149" s="1">
        <v>1</v>
      </c>
      <c r="D149" s="4">
        <v>26687.5</v>
      </c>
      <c r="E149" s="4">
        <v>31434.080000000002</v>
      </c>
      <c r="F149" s="4">
        <f>D149-E149</f>
        <v>-4746.5800000000017</v>
      </c>
      <c r="G149">
        <f>F149*0.7+D149*0.3</f>
        <v>4683.6439999999984</v>
      </c>
      <c r="H149">
        <f>SUMIF(A:A,A149,G:G)</f>
        <v>7590730.3989999993</v>
      </c>
      <c r="I149">
        <f>COUNTIFS(A:A, A149,G:G, "&gt;="&amp;G149)</f>
        <v>42</v>
      </c>
      <c r="J149">
        <f>SUMIFS(G:G,A:A,A149,I:I, "&lt;="&amp;I149)</f>
        <v>7875021.1269999985</v>
      </c>
      <c r="K149" s="14">
        <f>J149/H149</f>
        <v>1.0374523547875514</v>
      </c>
      <c r="L149" s="14" t="str">
        <f>IF(K149&lt;=0.7,"А",IF(K149&lt;=0.9,"B","C"))</f>
        <v>C</v>
      </c>
    </row>
    <row r="150" spans="1:12" x14ac:dyDescent="0.2">
      <c r="A150" s="2" t="s">
        <v>47</v>
      </c>
      <c r="B150" t="s">
        <v>40</v>
      </c>
      <c r="C150" s="1">
        <v>18</v>
      </c>
      <c r="D150" s="4">
        <v>624025.02</v>
      </c>
      <c r="E150" s="4">
        <v>985946.64</v>
      </c>
      <c r="F150" s="4">
        <f>D150-E150</f>
        <v>-361921.62</v>
      </c>
      <c r="G150">
        <f>F150*0.7+D150*0.3</f>
        <v>-66137.627999999997</v>
      </c>
      <c r="H150">
        <f>SUMIF(A:A,A150,G:G)</f>
        <v>7590730.3989999993</v>
      </c>
      <c r="I150">
        <f>COUNTIFS(A:A, A150,G:G, "&gt;="&amp;G150)</f>
        <v>43</v>
      </c>
      <c r="J150">
        <f>SUMIFS(G:G,A:A,A150,I:I, "&lt;="&amp;I150)</f>
        <v>7808883.4989999989</v>
      </c>
      <c r="K150" s="14">
        <f>J150/H150</f>
        <v>1.0287394082694254</v>
      </c>
      <c r="L150" s="14" t="str">
        <f>IF(K150&lt;=0.7,"А",IF(K150&lt;=0.9,"B","C"))</f>
        <v>C</v>
      </c>
    </row>
    <row r="151" spans="1:12" x14ac:dyDescent="0.2">
      <c r="A151" s="13" t="s">
        <v>47</v>
      </c>
      <c r="B151" t="s">
        <v>41</v>
      </c>
      <c r="C151" s="1">
        <v>23</v>
      </c>
      <c r="D151" s="4">
        <v>686430.37</v>
      </c>
      <c r="E151" s="4">
        <v>1292262.1000000001</v>
      </c>
      <c r="F151" s="4">
        <f>D151-E151</f>
        <v>-605831.7300000001</v>
      </c>
      <c r="G151">
        <f>F151*0.7+D151*0.3</f>
        <v>-218153.10000000006</v>
      </c>
      <c r="H151">
        <f>SUMIF(A:A,A151,G:G)</f>
        <v>7590730.3989999993</v>
      </c>
      <c r="I151">
        <f>COUNTIFS(A:A, A151,G:G, "&gt;="&amp;G151)</f>
        <v>44</v>
      </c>
      <c r="J151">
        <f>SUMIFS(G:G,A:A,A151,I:I, "&lt;="&amp;I151)</f>
        <v>7590730.3989999993</v>
      </c>
      <c r="K151" s="14">
        <f>J151/H151</f>
        <v>1</v>
      </c>
      <c r="L151" s="14" t="str">
        <f>IF(K151&lt;=0.7,"А",IF(K151&lt;=0.9,"B","C"))</f>
        <v>C</v>
      </c>
    </row>
    <row r="152" spans="1:12" x14ac:dyDescent="0.2">
      <c r="A152" s="13" t="s">
        <v>49</v>
      </c>
      <c r="B152" t="s">
        <v>57</v>
      </c>
      <c r="C152" s="1">
        <v>100</v>
      </c>
      <c r="D152" s="4">
        <v>14427678.35</v>
      </c>
      <c r="E152" s="4">
        <v>9611828.0899999999</v>
      </c>
      <c r="F152" s="4">
        <f>D152-E152</f>
        <v>4815850.26</v>
      </c>
      <c r="G152">
        <f>F152*0.7+D152*0.3</f>
        <v>7699398.686999999</v>
      </c>
      <c r="H152">
        <f>SUMIF(A:A,A152,G:G)</f>
        <v>11652509.489999996</v>
      </c>
      <c r="I152">
        <f>COUNTIFS(A:A, A152,G:G, "&gt;="&amp;G152)</f>
        <v>1</v>
      </c>
      <c r="J152">
        <f>SUMIFS(G:G,A:A,A152,I:I, "&lt;="&amp;I152)</f>
        <v>7699398.686999999</v>
      </c>
      <c r="K152" s="14">
        <f>J152/H152</f>
        <v>0.66075026101523482</v>
      </c>
      <c r="L152" s="14" t="str">
        <f>IF(K152&lt;=0.7,"А",IF(K152&lt;=0.9,"B","C"))</f>
        <v>А</v>
      </c>
    </row>
    <row r="153" spans="1:12" x14ac:dyDescent="0.2">
      <c r="A153" s="2" t="s">
        <v>49</v>
      </c>
      <c r="B153" t="s">
        <v>50</v>
      </c>
      <c r="C153" s="1">
        <v>7</v>
      </c>
      <c r="D153" s="4">
        <v>1356812.47</v>
      </c>
      <c r="E153" s="4">
        <v>1057150.3500000001</v>
      </c>
      <c r="F153" s="4">
        <f>D153-E153</f>
        <v>299662.11999999988</v>
      </c>
      <c r="G153">
        <f>F153*0.7+D153*0.3</f>
        <v>616807.22499999986</v>
      </c>
      <c r="H153">
        <f>SUMIF(A:A,A153,G:G)</f>
        <v>11652509.489999996</v>
      </c>
      <c r="I153">
        <f>COUNTIFS(A:A, A153,G:G, "&gt;="&amp;G153)</f>
        <v>2</v>
      </c>
      <c r="J153">
        <f>SUMIFS(G:G,A:A,A153,I:I, "&lt;="&amp;I153)</f>
        <v>8316205.9119999986</v>
      </c>
      <c r="K153" s="14">
        <f>J153/H153</f>
        <v>0.71368368497248069</v>
      </c>
      <c r="L153" s="14" t="str">
        <f>IF(K153&lt;=0.7,"А",IF(K153&lt;=0.9,"B","C"))</f>
        <v>B</v>
      </c>
    </row>
    <row r="154" spans="1:12" x14ac:dyDescent="0.2">
      <c r="A154" s="2" t="s">
        <v>49</v>
      </c>
      <c r="B154" t="s">
        <v>59</v>
      </c>
      <c r="C154" s="1">
        <v>5</v>
      </c>
      <c r="D154" s="4">
        <v>1339241.05</v>
      </c>
      <c r="E154" s="4">
        <v>1047027.2</v>
      </c>
      <c r="F154" s="4">
        <f>D154-E154</f>
        <v>292213.85000000009</v>
      </c>
      <c r="G154">
        <f>F154*0.7+D154*0.3</f>
        <v>606322.01</v>
      </c>
      <c r="H154">
        <f>SUMIF(A:A,A154,G:G)</f>
        <v>11652509.489999996</v>
      </c>
      <c r="I154">
        <f>COUNTIFS(A:A, A154,G:G, "&gt;="&amp;G154)</f>
        <v>3</v>
      </c>
      <c r="J154">
        <f>SUMIFS(G:G,A:A,A154,I:I, "&lt;="&amp;I154)</f>
        <v>8922527.9219999984</v>
      </c>
      <c r="K154" s="14">
        <f>J154/H154</f>
        <v>0.76571728430319441</v>
      </c>
      <c r="L154" s="14" t="str">
        <f>IF(K154&lt;=0.7,"А",IF(K154&lt;=0.9,"B","C"))</f>
        <v>B</v>
      </c>
    </row>
    <row r="155" spans="1:12" x14ac:dyDescent="0.2">
      <c r="A155" s="2" t="s">
        <v>49</v>
      </c>
      <c r="B155" t="s">
        <v>64</v>
      </c>
      <c r="C155" s="1">
        <v>5</v>
      </c>
      <c r="D155" s="4">
        <v>1169598.22</v>
      </c>
      <c r="E155" s="4">
        <v>903245.44</v>
      </c>
      <c r="F155" s="4">
        <f>D155-E155</f>
        <v>266352.78000000003</v>
      </c>
      <c r="G155">
        <f>F155*0.7+D155*0.3</f>
        <v>537326.41200000001</v>
      </c>
      <c r="H155">
        <f>SUMIF(A:A,A155,G:G)</f>
        <v>11652509.489999996</v>
      </c>
      <c r="I155">
        <f>COUNTIFS(A:A, A155,G:G, "&gt;="&amp;G155)</f>
        <v>4</v>
      </c>
      <c r="J155">
        <f>SUMIFS(G:G,A:A,A155,I:I, "&lt;="&amp;I155)</f>
        <v>9459854.3339999989</v>
      </c>
      <c r="K155" s="14">
        <f>J155/H155</f>
        <v>0.81182979015106571</v>
      </c>
      <c r="L155" s="14" t="str">
        <f>IF(K155&lt;=0.7,"А",IF(K155&lt;=0.9,"B","C"))</f>
        <v>B</v>
      </c>
    </row>
    <row r="156" spans="1:12" x14ac:dyDescent="0.2">
      <c r="A156" s="13" t="s">
        <v>49</v>
      </c>
      <c r="B156" t="s">
        <v>65</v>
      </c>
      <c r="C156" s="1">
        <v>5</v>
      </c>
      <c r="D156" s="4">
        <v>1040133.91</v>
      </c>
      <c r="E156" s="4">
        <v>859192.23</v>
      </c>
      <c r="F156" s="4">
        <f>D156-E156</f>
        <v>180941.68000000005</v>
      </c>
      <c r="G156">
        <f>F156*0.7+D156*0.3</f>
        <v>438699.34900000005</v>
      </c>
      <c r="H156">
        <f>SUMIF(A:A,A156,G:G)</f>
        <v>11652509.489999996</v>
      </c>
      <c r="I156">
        <f>COUNTIFS(A:A, A156,G:G, "&gt;="&amp;G156)</f>
        <v>5</v>
      </c>
      <c r="J156">
        <f>SUMIFS(G:G,A:A,A156,I:I, "&lt;="&amp;I156)</f>
        <v>9898553.6829999983</v>
      </c>
      <c r="K156" s="14">
        <f>J156/H156</f>
        <v>0.84947827688917865</v>
      </c>
      <c r="L156" s="14" t="str">
        <f>IF(K156&lt;=0.7,"А",IF(K156&lt;=0.9,"B","C"))</f>
        <v>B</v>
      </c>
    </row>
    <row r="157" spans="1:12" x14ac:dyDescent="0.2">
      <c r="A157" s="2" t="s">
        <v>49</v>
      </c>
      <c r="B157" t="s">
        <v>53</v>
      </c>
      <c r="C157" s="1">
        <v>5</v>
      </c>
      <c r="D157" s="4">
        <v>1151741.08</v>
      </c>
      <c r="E157" s="4">
        <v>1047667.49</v>
      </c>
      <c r="F157" s="4">
        <f>D157-E157</f>
        <v>104073.59000000008</v>
      </c>
      <c r="G157">
        <f>F157*0.7+D157*0.3</f>
        <v>418373.83700000006</v>
      </c>
      <c r="H157">
        <f>SUMIF(A:A,A157,G:G)</f>
        <v>11652509.489999996</v>
      </c>
      <c r="I157">
        <f>COUNTIFS(A:A, A157,G:G, "&gt;="&amp;G157)</f>
        <v>6</v>
      </c>
      <c r="J157">
        <f>SUMIFS(G:G,A:A,A157,I:I, "&lt;="&amp;I157)</f>
        <v>10316927.519999998</v>
      </c>
      <c r="K157" s="14">
        <f>J157/H157</f>
        <v>0.88538246022059242</v>
      </c>
      <c r="L157" s="14" t="str">
        <f>IF(K157&lt;=0.7,"А",IF(K157&lt;=0.9,"B","C"))</f>
        <v>B</v>
      </c>
    </row>
    <row r="158" spans="1:12" x14ac:dyDescent="0.2">
      <c r="A158" s="2" t="s">
        <v>49</v>
      </c>
      <c r="B158" t="s">
        <v>61</v>
      </c>
      <c r="C158" s="1">
        <v>4</v>
      </c>
      <c r="D158" s="4">
        <v>678535.72</v>
      </c>
      <c r="E158" s="4">
        <v>515668.85</v>
      </c>
      <c r="F158" s="4">
        <f>D158-E158</f>
        <v>162866.87</v>
      </c>
      <c r="G158">
        <f>F158*0.7+D158*0.3</f>
        <v>317567.52499999997</v>
      </c>
      <c r="H158">
        <f>SUMIF(A:A,A158,G:G)</f>
        <v>11652509.489999996</v>
      </c>
      <c r="I158">
        <f>COUNTIFS(A:A, A158,G:G, "&gt;="&amp;G158)</f>
        <v>7</v>
      </c>
      <c r="J158">
        <f>SUMIFS(G:G,A:A,A158,I:I, "&lt;="&amp;I158)</f>
        <v>10634495.044999998</v>
      </c>
      <c r="K158" s="14">
        <f>J158/H158</f>
        <v>0.91263560472757888</v>
      </c>
      <c r="L158" s="14" t="str">
        <f>IF(K158&lt;=0.7,"А",IF(K158&lt;=0.9,"B","C"))</f>
        <v>C</v>
      </c>
    </row>
    <row r="159" spans="1:12" x14ac:dyDescent="0.2">
      <c r="A159" s="2" t="s">
        <v>49</v>
      </c>
      <c r="B159" t="s">
        <v>51</v>
      </c>
      <c r="C159" s="1">
        <v>1</v>
      </c>
      <c r="D159" s="4">
        <v>357133.93</v>
      </c>
      <c r="E159" s="4">
        <v>217993.39</v>
      </c>
      <c r="F159" s="4">
        <f>D159-E159</f>
        <v>139140.53999999998</v>
      </c>
      <c r="G159">
        <f>F159*0.7+D159*0.3</f>
        <v>204538.55699999997</v>
      </c>
      <c r="H159">
        <f>SUMIF(A:A,A159,G:G)</f>
        <v>11652509.489999996</v>
      </c>
      <c r="I159">
        <f>COUNTIFS(A:A, A159,G:G, "&gt;="&amp;G159)</f>
        <v>8</v>
      </c>
      <c r="J159">
        <f>SUMIFS(G:G,A:A,A159,I:I, "&lt;="&amp;I159)</f>
        <v>10839033.601999998</v>
      </c>
      <c r="K159" s="14">
        <f>J159/H159</f>
        <v>0.93018878133520411</v>
      </c>
      <c r="L159" s="14" t="str">
        <f>IF(K159&lt;=0.7,"А",IF(K159&lt;=0.9,"B","C"))</f>
        <v>C</v>
      </c>
    </row>
    <row r="160" spans="1:12" x14ac:dyDescent="0.2">
      <c r="A160" s="2" t="s">
        <v>49</v>
      </c>
      <c r="B160" t="s">
        <v>60</v>
      </c>
      <c r="C160" s="1">
        <v>1</v>
      </c>
      <c r="D160" s="4">
        <v>285705.36</v>
      </c>
      <c r="E160" s="4">
        <v>219226.52</v>
      </c>
      <c r="F160" s="4">
        <f>D160-E160</f>
        <v>66478.84</v>
      </c>
      <c r="G160">
        <f>F160*0.7+D160*0.3</f>
        <v>132246.79599999997</v>
      </c>
      <c r="H160">
        <f>SUMIF(A:A,A160,G:G)</f>
        <v>11652509.489999996</v>
      </c>
      <c r="I160">
        <f>COUNTIFS(A:A, A160,G:G, "&gt;="&amp;G160)</f>
        <v>9</v>
      </c>
      <c r="J160">
        <f>SUMIFS(G:G,A:A,A160,I:I, "&lt;="&amp;I160)</f>
        <v>10971280.397999998</v>
      </c>
      <c r="K160" s="14">
        <f>J160/H160</f>
        <v>0.94153799294610152</v>
      </c>
      <c r="L160" s="14" t="str">
        <f>IF(K160&lt;=0.7,"А",IF(K160&lt;=0.9,"B","C"))</f>
        <v>C</v>
      </c>
    </row>
    <row r="161" spans="1:12" x14ac:dyDescent="0.2">
      <c r="A161" s="2" t="s">
        <v>49</v>
      </c>
      <c r="B161" t="s">
        <v>54</v>
      </c>
      <c r="C161" s="1">
        <v>1</v>
      </c>
      <c r="D161" s="4">
        <v>276776.78999999998</v>
      </c>
      <c r="E161" s="4">
        <v>217070</v>
      </c>
      <c r="F161" s="4">
        <f>D161-E161</f>
        <v>59706.789999999979</v>
      </c>
      <c r="G161">
        <f>F161*0.7+D161*0.3</f>
        <v>124827.78999999998</v>
      </c>
      <c r="H161">
        <f>SUMIF(A:A,A161,G:G)</f>
        <v>11652509.489999996</v>
      </c>
      <c r="I161">
        <f>COUNTIFS(A:A, A161,G:G, "&gt;="&amp;G161)</f>
        <v>10</v>
      </c>
      <c r="J161">
        <f>SUMIFS(G:G,A:A,A161,I:I, "&lt;="&amp;I161)</f>
        <v>11096108.187999997</v>
      </c>
      <c r="K161" s="14">
        <f>J161/H161</f>
        <v>0.95225051715448128</v>
      </c>
      <c r="L161" s="14" t="str">
        <f>IF(K161&lt;=0.7,"А",IF(K161&lt;=0.9,"B","C"))</f>
        <v>C</v>
      </c>
    </row>
    <row r="162" spans="1:12" x14ac:dyDescent="0.2">
      <c r="A162" s="2" t="s">
        <v>49</v>
      </c>
      <c r="B162" t="s">
        <v>62</v>
      </c>
      <c r="C162" s="1">
        <v>1</v>
      </c>
      <c r="D162" s="4">
        <v>254455.36</v>
      </c>
      <c r="E162" s="4">
        <v>207509.15</v>
      </c>
      <c r="F162" s="4">
        <f>D162-E162</f>
        <v>46946.209999999992</v>
      </c>
      <c r="G162">
        <f>F162*0.7+D162*0.3</f>
        <v>109198.95499999999</v>
      </c>
      <c r="H162">
        <f>SUMIF(A:A,A162,G:G)</f>
        <v>11652509.489999996</v>
      </c>
      <c r="I162">
        <f>COUNTIFS(A:A, A162,G:G, "&gt;="&amp;G162)</f>
        <v>11</v>
      </c>
      <c r="J162">
        <f>SUMIFS(G:G,A:A,A162,I:I, "&lt;="&amp;I162)</f>
        <v>11205307.142999997</v>
      </c>
      <c r="K162" s="14">
        <f>J162/H162</f>
        <v>0.96162179937430803</v>
      </c>
      <c r="L162" s="14" t="str">
        <f>IF(K162&lt;=0.7,"А",IF(K162&lt;=0.9,"B","C"))</f>
        <v>C</v>
      </c>
    </row>
    <row r="163" spans="1:12" x14ac:dyDescent="0.2">
      <c r="A163" s="2" t="s">
        <v>49</v>
      </c>
      <c r="B163" t="s">
        <v>58</v>
      </c>
      <c r="C163" s="1">
        <v>1</v>
      </c>
      <c r="D163" s="4">
        <v>249991.07</v>
      </c>
      <c r="E163" s="4">
        <v>202542.98</v>
      </c>
      <c r="F163" s="4">
        <f>D163-E163</f>
        <v>47448.09</v>
      </c>
      <c r="G163">
        <f>F163*0.7+D163*0.3</f>
        <v>108210.984</v>
      </c>
      <c r="H163">
        <f>SUMIF(A:A,A163,G:G)</f>
        <v>11652509.489999996</v>
      </c>
      <c r="I163">
        <f>COUNTIFS(A:A, A163,G:G, "&gt;="&amp;G163)</f>
        <v>12</v>
      </c>
      <c r="J163">
        <f>SUMIFS(G:G,A:A,A163,I:I, "&lt;="&amp;I163)</f>
        <v>11313518.126999997</v>
      </c>
      <c r="K163" s="14">
        <f>J163/H163</f>
        <v>0.9709082954799636</v>
      </c>
      <c r="L163" s="14" t="str">
        <f>IF(K163&lt;=0.7,"А",IF(K163&lt;=0.9,"B","C"))</f>
        <v>C</v>
      </c>
    </row>
    <row r="164" spans="1:12" x14ac:dyDescent="0.2">
      <c r="A164" s="13" t="s">
        <v>49</v>
      </c>
      <c r="B164" t="s">
        <v>52</v>
      </c>
      <c r="C164" s="1">
        <v>1</v>
      </c>
      <c r="D164" s="4">
        <v>303562.5</v>
      </c>
      <c r="E164" s="4">
        <v>299800.25</v>
      </c>
      <c r="F164" s="4">
        <f>D164-E164</f>
        <v>3762.25</v>
      </c>
      <c r="G164">
        <f>F164*0.7+D164*0.3</f>
        <v>93702.324999999997</v>
      </c>
      <c r="H164">
        <f>SUMIF(A:A,A164,G:G)</f>
        <v>11652509.489999996</v>
      </c>
      <c r="I164">
        <f>COUNTIFS(A:A, A164,G:G, "&gt;="&amp;G164)</f>
        <v>13</v>
      </c>
      <c r="J164">
        <f>SUMIFS(G:G,A:A,A164,I:I, "&lt;="&amp;I164)</f>
        <v>11407220.451999996</v>
      </c>
      <c r="K164" s="14">
        <f>J164/H164</f>
        <v>0.97894968133598137</v>
      </c>
      <c r="L164" s="14" t="str">
        <f>IF(K164&lt;=0.7,"А",IF(K164&lt;=0.9,"B","C"))</f>
        <v>C</v>
      </c>
    </row>
    <row r="165" spans="1:12" x14ac:dyDescent="0.2">
      <c r="A165" s="2" t="s">
        <v>49</v>
      </c>
      <c r="B165" t="s">
        <v>56</v>
      </c>
      <c r="C165" s="1">
        <v>1</v>
      </c>
      <c r="D165" s="4">
        <v>196419.64</v>
      </c>
      <c r="E165" s="4">
        <v>150973.76000000001</v>
      </c>
      <c r="F165" s="4">
        <f>D165-E165</f>
        <v>45445.880000000005</v>
      </c>
      <c r="G165">
        <f>F165*0.7+D165*0.3</f>
        <v>90738.008000000002</v>
      </c>
      <c r="H165">
        <f>SUMIF(A:A,A165,G:G)</f>
        <v>11652509.489999996</v>
      </c>
      <c r="I165">
        <f>COUNTIFS(A:A, A165,G:G, "&gt;="&amp;G165)</f>
        <v>14</v>
      </c>
      <c r="J165">
        <f>SUMIFS(G:G,A:A,A165,I:I, "&lt;="&amp;I165)</f>
        <v>11497958.459999995</v>
      </c>
      <c r="K165" s="14">
        <f>J165/H165</f>
        <v>0.98673667417884237</v>
      </c>
      <c r="L165" s="14" t="str">
        <f>IF(K165&lt;=0.7,"А",IF(K165&lt;=0.9,"B","C"))</f>
        <v>C</v>
      </c>
    </row>
    <row r="166" spans="1:12" x14ac:dyDescent="0.2">
      <c r="A166" s="2" t="s">
        <v>49</v>
      </c>
      <c r="B166" t="s">
        <v>55</v>
      </c>
      <c r="C166" s="1">
        <v>2</v>
      </c>
      <c r="D166" s="4">
        <v>464267.86</v>
      </c>
      <c r="E166" s="4">
        <v>540597.96</v>
      </c>
      <c r="F166" s="4">
        <f>D166-E166</f>
        <v>-76330.099999999977</v>
      </c>
      <c r="G166">
        <f>F166*0.7+D166*0.3</f>
        <v>85849.288</v>
      </c>
      <c r="H166">
        <f>SUMIF(A:A,A166,G:G)</f>
        <v>11652509.489999996</v>
      </c>
      <c r="I166">
        <f>COUNTIFS(A:A, A166,G:G, "&gt;="&amp;G166)</f>
        <v>15</v>
      </c>
      <c r="J166">
        <f>SUMIFS(G:G,A:A,A166,I:I, "&lt;="&amp;I166)</f>
        <v>11583807.747999996</v>
      </c>
      <c r="K166" s="14">
        <f>J166/H166</f>
        <v>0.99410412477595844</v>
      </c>
      <c r="L166" s="14" t="str">
        <f>IF(K166&lt;=0.7,"А",IF(K166&lt;=0.9,"B","C"))</f>
        <v>C</v>
      </c>
    </row>
    <row r="167" spans="1:12" x14ac:dyDescent="0.2">
      <c r="A167" s="2" t="s">
        <v>49</v>
      </c>
      <c r="B167" t="s">
        <v>63</v>
      </c>
      <c r="C167" s="1">
        <v>1</v>
      </c>
      <c r="D167" s="4">
        <v>169633.93</v>
      </c>
      <c r="E167" s="4">
        <v>144188.84</v>
      </c>
      <c r="F167" s="4">
        <f>D167-E167</f>
        <v>25445.089999999997</v>
      </c>
      <c r="G167">
        <f>F167*0.7+D167*0.3</f>
        <v>68701.741999999998</v>
      </c>
      <c r="H167">
        <f>SUMIF(A:A,A167,G:G)</f>
        <v>11652509.489999996</v>
      </c>
      <c r="I167">
        <f>COUNTIFS(A:A, A167,G:G, "&gt;="&amp;G167)</f>
        <v>16</v>
      </c>
      <c r="J167">
        <f>SUMIFS(G:G,A:A,A167,I:I, "&lt;="&amp;I167)</f>
        <v>11652509.489999996</v>
      </c>
      <c r="K167" s="14">
        <f>J167/H167</f>
        <v>1</v>
      </c>
      <c r="L167" s="14" t="str">
        <f>IF(K167&lt;=0.7,"А",IF(K167&lt;=0.9,"B","C"))</f>
        <v>C</v>
      </c>
    </row>
    <row r="168" spans="1:12" x14ac:dyDescent="0.2">
      <c r="A168" s="2" t="s">
        <v>172</v>
      </c>
      <c r="B168" t="s">
        <v>195</v>
      </c>
      <c r="C168" s="1">
        <v>38</v>
      </c>
      <c r="D168" s="4">
        <v>7303232.0700000003</v>
      </c>
      <c r="E168" s="4">
        <v>5589687.7199999997</v>
      </c>
      <c r="F168" s="4">
        <f>D168-E168</f>
        <v>1713544.3500000006</v>
      </c>
      <c r="G168">
        <f>F168*0.7+D168*0.3</f>
        <v>3390450.6660000002</v>
      </c>
      <c r="H168">
        <f>SUMIF(A:A,A168,G:G)</f>
        <v>23026259.541000005</v>
      </c>
      <c r="I168">
        <f>COUNTIFS(A:A, A168,G:G, "&gt;="&amp;G168)</f>
        <v>1</v>
      </c>
      <c r="J168">
        <f>SUMIFS(G:G,A:A,A168,I:I, "&lt;="&amp;I168)</f>
        <v>3390450.6660000002</v>
      </c>
      <c r="K168" s="14">
        <f>J168/H168</f>
        <v>0.14724278860676634</v>
      </c>
      <c r="L168" s="14" t="str">
        <f>IF(K168&lt;=0.7,"А",IF(K168&lt;=0.9,"B","C"))</f>
        <v>А</v>
      </c>
    </row>
    <row r="169" spans="1:12" x14ac:dyDescent="0.2">
      <c r="A169" s="2" t="s">
        <v>172</v>
      </c>
      <c r="B169" t="s">
        <v>192</v>
      </c>
      <c r="C169" s="1">
        <v>42</v>
      </c>
      <c r="D169" s="4">
        <v>6412124.8799999999</v>
      </c>
      <c r="E169" s="4">
        <v>4868187.5199999996</v>
      </c>
      <c r="F169" s="4">
        <f>D169-E169</f>
        <v>1543937.3600000003</v>
      </c>
      <c r="G169">
        <f>F169*0.7+D169*0.3</f>
        <v>3004393.6160000004</v>
      </c>
      <c r="H169">
        <f>SUMIF(A:A,A169,G:G)</f>
        <v>23026259.541000005</v>
      </c>
      <c r="I169">
        <f>COUNTIFS(A:A, A169,G:G, "&gt;="&amp;G169)</f>
        <v>2</v>
      </c>
      <c r="J169">
        <f>SUMIFS(G:G,A:A,A169,I:I, "&lt;="&amp;I169)</f>
        <v>6394844.2820000006</v>
      </c>
      <c r="K169" s="14">
        <f>J169/H169</f>
        <v>0.27771963008640177</v>
      </c>
      <c r="L169" s="14" t="str">
        <f>IF(K169&lt;=0.7,"А",IF(K169&lt;=0.9,"B","C"))</f>
        <v>А</v>
      </c>
    </row>
    <row r="170" spans="1:12" x14ac:dyDescent="0.2">
      <c r="A170" s="2" t="s">
        <v>172</v>
      </c>
      <c r="B170" t="s">
        <v>183</v>
      </c>
      <c r="C170" s="1">
        <v>48</v>
      </c>
      <c r="D170" s="4">
        <v>6187071.4299999997</v>
      </c>
      <c r="E170" s="4">
        <v>4727488.4800000004</v>
      </c>
      <c r="F170" s="4">
        <f>D170-E170</f>
        <v>1459582.9499999993</v>
      </c>
      <c r="G170">
        <f>F170*0.7+D170*0.3</f>
        <v>2877829.493999999</v>
      </c>
      <c r="H170">
        <f>SUMIF(A:A,A170,G:G)</f>
        <v>23026259.541000005</v>
      </c>
      <c r="I170">
        <f>COUNTIFS(A:A, A170,G:G, "&gt;="&amp;G170)</f>
        <v>3</v>
      </c>
      <c r="J170">
        <f>SUMIFS(G:G,A:A,A170,I:I, "&lt;="&amp;I170)</f>
        <v>9272673.7760000005</v>
      </c>
      <c r="K170" s="14">
        <f>J170/H170</f>
        <v>0.40269995912663542</v>
      </c>
      <c r="L170" s="14" t="str">
        <f>IF(K170&lt;=0.7,"А",IF(K170&lt;=0.9,"B","C"))</f>
        <v>А</v>
      </c>
    </row>
    <row r="171" spans="1:12" x14ac:dyDescent="0.2">
      <c r="A171" s="2" t="s">
        <v>172</v>
      </c>
      <c r="B171" t="s">
        <v>197</v>
      </c>
      <c r="C171" s="1">
        <v>17</v>
      </c>
      <c r="D171" s="4">
        <v>3446276.73</v>
      </c>
      <c r="E171" s="4">
        <v>2920224.44</v>
      </c>
      <c r="F171" s="4">
        <f>D171-E171</f>
        <v>526052.29</v>
      </c>
      <c r="G171">
        <f>F171*0.7+D171*0.3</f>
        <v>1402119.622</v>
      </c>
      <c r="H171">
        <f>SUMIF(A:A,A171,G:G)</f>
        <v>23026259.541000005</v>
      </c>
      <c r="I171">
        <f>COUNTIFS(A:A, A171,G:G, "&gt;="&amp;G171)</f>
        <v>4</v>
      </c>
      <c r="J171">
        <f>SUMIFS(G:G,A:A,A171,I:I, "&lt;="&amp;I171)</f>
        <v>10674793.398</v>
      </c>
      <c r="K171" s="14">
        <f>J171/H171</f>
        <v>0.46359216002897558</v>
      </c>
      <c r="L171" s="14" t="str">
        <f>IF(K171&lt;=0.7,"А",IF(K171&lt;=0.9,"B","C"))</f>
        <v>А</v>
      </c>
    </row>
    <row r="172" spans="1:12" x14ac:dyDescent="0.2">
      <c r="A172" s="2" t="s">
        <v>172</v>
      </c>
      <c r="B172" t="s">
        <v>194</v>
      </c>
      <c r="C172" s="1">
        <v>14</v>
      </c>
      <c r="D172" s="4">
        <v>2732017.82</v>
      </c>
      <c r="E172" s="4">
        <v>2177630.48</v>
      </c>
      <c r="F172" s="4">
        <f>D172-E172</f>
        <v>554387.33999999985</v>
      </c>
      <c r="G172">
        <f>F172*0.7+D172*0.3</f>
        <v>1207676.4839999997</v>
      </c>
      <c r="H172">
        <f>SUMIF(A:A,A172,G:G)</f>
        <v>23026259.541000005</v>
      </c>
      <c r="I172">
        <f>COUNTIFS(A:A, A172,G:G, "&gt;="&amp;G172)</f>
        <v>5</v>
      </c>
      <c r="J172">
        <f>SUMIFS(G:G,A:A,A172,I:I, "&lt;="&amp;I172)</f>
        <v>11882469.881999999</v>
      </c>
      <c r="K172" s="14">
        <f>J172/H172</f>
        <v>0.51603995259596369</v>
      </c>
      <c r="L172" s="14" t="str">
        <f>IF(K172&lt;=0.7,"А",IF(K172&lt;=0.9,"B","C"))</f>
        <v>А</v>
      </c>
    </row>
    <row r="173" spans="1:12" x14ac:dyDescent="0.2">
      <c r="A173" s="2" t="s">
        <v>172</v>
      </c>
      <c r="B173" t="s">
        <v>196</v>
      </c>
      <c r="C173" s="1">
        <v>14</v>
      </c>
      <c r="D173" s="4">
        <v>2761491.03</v>
      </c>
      <c r="E173" s="4">
        <v>2389003.3199999998</v>
      </c>
      <c r="F173" s="4">
        <f>D173-E173</f>
        <v>372487.70999999996</v>
      </c>
      <c r="G173">
        <f>F173*0.7+D173*0.3</f>
        <v>1089188.7059999998</v>
      </c>
      <c r="H173">
        <f>SUMIF(A:A,A173,G:G)</f>
        <v>23026259.541000005</v>
      </c>
      <c r="I173">
        <f>COUNTIFS(A:A, A173,G:G, "&gt;="&amp;G173)</f>
        <v>6</v>
      </c>
      <c r="J173">
        <f>SUMIFS(G:G,A:A,A173,I:I, "&lt;="&amp;I173)</f>
        <v>12971658.588</v>
      </c>
      <c r="K173" s="14">
        <f>J173/H173</f>
        <v>0.56334197766263239</v>
      </c>
      <c r="L173" s="14" t="str">
        <f>IF(K173&lt;=0.7,"А",IF(K173&lt;=0.9,"B","C"))</f>
        <v>А</v>
      </c>
    </row>
    <row r="174" spans="1:12" x14ac:dyDescent="0.2">
      <c r="A174" s="2" t="s">
        <v>172</v>
      </c>
      <c r="B174" t="s">
        <v>219</v>
      </c>
      <c r="C174" s="1">
        <v>26</v>
      </c>
      <c r="D174" s="4">
        <v>2812267.89</v>
      </c>
      <c r="E174" s="4">
        <v>2505547.69</v>
      </c>
      <c r="F174" s="4">
        <f>D174-E174</f>
        <v>306720.20000000019</v>
      </c>
      <c r="G174">
        <f>F174*0.7+D174*0.3</f>
        <v>1058384.5070000002</v>
      </c>
      <c r="H174">
        <f>SUMIF(A:A,A174,G:G)</f>
        <v>23026259.541000005</v>
      </c>
      <c r="I174">
        <f>COUNTIFS(A:A, A174,G:G, "&gt;="&amp;G174)</f>
        <v>7</v>
      </c>
      <c r="J174">
        <f>SUMIFS(G:G,A:A,A174,I:I, "&lt;="&amp;I174)</f>
        <v>14030043.094999999</v>
      </c>
      <c r="K174" s="14">
        <f>J174/H174</f>
        <v>0.60930621710479904</v>
      </c>
      <c r="L174" s="14" t="str">
        <f>IF(K174&lt;=0.7,"А",IF(K174&lt;=0.9,"B","C"))</f>
        <v>А</v>
      </c>
    </row>
    <row r="175" spans="1:12" x14ac:dyDescent="0.2">
      <c r="A175" s="2" t="s">
        <v>172</v>
      </c>
      <c r="B175" t="s">
        <v>220</v>
      </c>
      <c r="C175" s="1">
        <v>16</v>
      </c>
      <c r="D175" s="4">
        <v>1990928.55</v>
      </c>
      <c r="E175" s="4">
        <v>1538446.4</v>
      </c>
      <c r="F175" s="4">
        <f>D175-E175</f>
        <v>452482.15000000014</v>
      </c>
      <c r="G175">
        <f>F175*0.7+D175*0.3</f>
        <v>914016.07000000007</v>
      </c>
      <c r="H175">
        <f>SUMIF(A:A,A175,G:G)</f>
        <v>23026259.541000005</v>
      </c>
      <c r="I175">
        <f>COUNTIFS(A:A, A175,G:G, "&gt;="&amp;G175)</f>
        <v>8</v>
      </c>
      <c r="J175">
        <f>SUMIFS(G:G,A:A,A175,I:I, "&lt;="&amp;I175)</f>
        <v>14944059.164999999</v>
      </c>
      <c r="K175" s="14">
        <f>J175/H175</f>
        <v>0.64900072625304017</v>
      </c>
      <c r="L175" s="14" t="str">
        <f>IF(K175&lt;=0.7,"А",IF(K175&lt;=0.9,"B","C"))</f>
        <v>А</v>
      </c>
    </row>
    <row r="176" spans="1:12" x14ac:dyDescent="0.2">
      <c r="A176" s="2" t="s">
        <v>172</v>
      </c>
      <c r="B176" t="s">
        <v>186</v>
      </c>
      <c r="C176" s="1">
        <v>11</v>
      </c>
      <c r="D176" s="4">
        <v>2292739.29</v>
      </c>
      <c r="E176" s="4">
        <v>2010859.51</v>
      </c>
      <c r="F176" s="4">
        <f>D176-E176</f>
        <v>281879.78000000003</v>
      </c>
      <c r="G176">
        <f>F176*0.7+D176*0.3</f>
        <v>885137.63300000003</v>
      </c>
      <c r="H176">
        <f>SUMIF(A:A,A176,G:G)</f>
        <v>23026259.541000005</v>
      </c>
      <c r="I176">
        <f>COUNTIFS(A:A, A176,G:G, "&gt;="&amp;G176)</f>
        <v>9</v>
      </c>
      <c r="J176">
        <f>SUMIFS(G:G,A:A,A176,I:I, "&lt;="&amp;I176)</f>
        <v>15829196.797999999</v>
      </c>
      <c r="K176" s="14">
        <f>J176/H176</f>
        <v>0.68744108307364948</v>
      </c>
      <c r="L176" s="14" t="str">
        <f>IF(K176&lt;=0.7,"А",IF(K176&lt;=0.9,"B","C"))</f>
        <v>А</v>
      </c>
    </row>
    <row r="177" spans="1:12" x14ac:dyDescent="0.2">
      <c r="A177" s="2" t="s">
        <v>172</v>
      </c>
      <c r="B177" t="s">
        <v>208</v>
      </c>
      <c r="C177" s="1">
        <v>5</v>
      </c>
      <c r="D177" s="4">
        <v>1071383.95</v>
      </c>
      <c r="E177" s="4">
        <v>882819.66</v>
      </c>
      <c r="F177" s="4">
        <f>D177-E177</f>
        <v>188564.28999999992</v>
      </c>
      <c r="G177">
        <f>F177*0.7+D177*0.3</f>
        <v>453410.18799999997</v>
      </c>
      <c r="H177">
        <f>SUMIF(A:A,A177,G:G)</f>
        <v>23026259.541000005</v>
      </c>
      <c r="I177">
        <f>COUNTIFS(A:A, A177,G:G, "&gt;="&amp;G177)</f>
        <v>10</v>
      </c>
      <c r="J177">
        <f>SUMIFS(G:G,A:A,A177,I:I, "&lt;="&amp;I177)</f>
        <v>16282606.985999998</v>
      </c>
      <c r="K177" s="14">
        <f>J177/H177</f>
        <v>0.70713208791065607</v>
      </c>
      <c r="L177" s="14" t="str">
        <f>IF(K177&lt;=0.7,"А",IF(K177&lt;=0.9,"B","C"))</f>
        <v>B</v>
      </c>
    </row>
    <row r="178" spans="1:12" x14ac:dyDescent="0.2">
      <c r="A178" s="2" t="s">
        <v>172</v>
      </c>
      <c r="B178" t="s">
        <v>204</v>
      </c>
      <c r="C178" s="1">
        <v>5</v>
      </c>
      <c r="D178" s="4">
        <v>1107098.21</v>
      </c>
      <c r="E178" s="4">
        <v>1023935.13</v>
      </c>
      <c r="F178" s="4">
        <f>D178-E178</f>
        <v>83163.079999999958</v>
      </c>
      <c r="G178">
        <f>F178*0.7+D178*0.3</f>
        <v>390343.61899999995</v>
      </c>
      <c r="H178">
        <f>SUMIF(A:A,A178,G:G)</f>
        <v>23026259.541000005</v>
      </c>
      <c r="I178">
        <f>COUNTIFS(A:A, A178,G:G, "&gt;="&amp;G178)</f>
        <v>11</v>
      </c>
      <c r="J178">
        <f>SUMIFS(G:G,A:A,A178,I:I, "&lt;="&amp;I178)</f>
        <v>16672950.604999997</v>
      </c>
      <c r="K178" s="14">
        <f>J178/H178</f>
        <v>0.72408419506053689</v>
      </c>
      <c r="L178" s="14" t="str">
        <f>IF(K178&lt;=0.7,"А",IF(K178&lt;=0.9,"B","C"))</f>
        <v>B</v>
      </c>
    </row>
    <row r="179" spans="1:12" x14ac:dyDescent="0.2">
      <c r="A179" s="2" t="s">
        <v>172</v>
      </c>
      <c r="B179" t="s">
        <v>201</v>
      </c>
      <c r="C179" s="1">
        <v>3</v>
      </c>
      <c r="D179" s="4">
        <v>724482.15</v>
      </c>
      <c r="E179" s="4">
        <v>520642.65</v>
      </c>
      <c r="F179" s="4">
        <f>D179-E179</f>
        <v>203839.5</v>
      </c>
      <c r="G179">
        <f>F179*0.7+D179*0.3</f>
        <v>360032.29499999998</v>
      </c>
      <c r="H179">
        <f>SUMIF(A:A,A179,G:G)</f>
        <v>23026259.541000005</v>
      </c>
      <c r="I179">
        <f>COUNTIFS(A:A, A179,G:G, "&gt;="&amp;G179)</f>
        <v>12</v>
      </c>
      <c r="J179">
        <f>SUMIFS(G:G,A:A,A179,I:I, "&lt;="&amp;I179)</f>
        <v>17032982.899999999</v>
      </c>
      <c r="K179" s="14">
        <f>J179/H179</f>
        <v>0.7397199214953466</v>
      </c>
      <c r="L179" s="14" t="str">
        <f>IF(K179&lt;=0.7,"А",IF(K179&lt;=0.9,"B","C"))</f>
        <v>B</v>
      </c>
    </row>
    <row r="180" spans="1:12" x14ac:dyDescent="0.2">
      <c r="A180" s="2" t="s">
        <v>172</v>
      </c>
      <c r="B180" t="s">
        <v>191</v>
      </c>
      <c r="C180" s="1">
        <v>5</v>
      </c>
      <c r="D180" s="4">
        <v>627858.05000000005</v>
      </c>
      <c r="E180" s="4">
        <v>498050.59</v>
      </c>
      <c r="F180" s="4">
        <f>D180-E180</f>
        <v>129807.46000000002</v>
      </c>
      <c r="G180">
        <f>F180*0.7+D180*0.3</f>
        <v>279222.63699999999</v>
      </c>
      <c r="H180">
        <f>SUMIF(A:A,A180,G:G)</f>
        <v>23026259.541000005</v>
      </c>
      <c r="I180">
        <f>COUNTIFS(A:A, A180,G:G, "&gt;="&amp;G180)</f>
        <v>13</v>
      </c>
      <c r="J180">
        <f>SUMIFS(G:G,A:A,A180,I:I, "&lt;="&amp;I180)</f>
        <v>17312205.536999997</v>
      </c>
      <c r="K180" s="14">
        <f>J180/H180</f>
        <v>0.75184619135271624</v>
      </c>
      <c r="L180" s="14" t="str">
        <f>IF(K180&lt;=0.7,"А",IF(K180&lt;=0.9,"B","C"))</f>
        <v>B</v>
      </c>
    </row>
    <row r="181" spans="1:12" x14ac:dyDescent="0.2">
      <c r="A181" s="2" t="s">
        <v>172</v>
      </c>
      <c r="B181" t="s">
        <v>181</v>
      </c>
      <c r="C181" s="1">
        <v>6</v>
      </c>
      <c r="D181" s="4">
        <v>558339.29</v>
      </c>
      <c r="E181" s="4">
        <v>406247.53</v>
      </c>
      <c r="F181" s="4">
        <f>D181-E181</f>
        <v>152091.76</v>
      </c>
      <c r="G181">
        <f>F181*0.7+D181*0.3</f>
        <v>273966.01900000003</v>
      </c>
      <c r="H181">
        <f>SUMIF(A:A,A181,G:G)</f>
        <v>23026259.541000005</v>
      </c>
      <c r="I181">
        <f>COUNTIFS(A:A, A181,G:G, "&gt;="&amp;G181)</f>
        <v>14</v>
      </c>
      <c r="J181">
        <f>SUMIFS(G:G,A:A,A181,I:I, "&lt;="&amp;I181)</f>
        <v>17586171.555999998</v>
      </c>
      <c r="K181" s="14">
        <f>J181/H181</f>
        <v>0.7637441732421405</v>
      </c>
      <c r="L181" s="14" t="str">
        <f>IF(K181&lt;=0.7,"А",IF(K181&lt;=0.9,"B","C"))</f>
        <v>B</v>
      </c>
    </row>
    <row r="182" spans="1:12" x14ac:dyDescent="0.2">
      <c r="A182" s="2" t="s">
        <v>172</v>
      </c>
      <c r="B182" t="s">
        <v>209</v>
      </c>
      <c r="C182" s="1">
        <v>3</v>
      </c>
      <c r="D182" s="4">
        <v>642830.37</v>
      </c>
      <c r="E182" s="4">
        <v>527792.18999999994</v>
      </c>
      <c r="F182" s="4">
        <f>D182-E182</f>
        <v>115038.18000000005</v>
      </c>
      <c r="G182">
        <f>F182*0.7+D182*0.3</f>
        <v>273375.83700000006</v>
      </c>
      <c r="H182">
        <f>SUMIF(A:A,A182,G:G)</f>
        <v>23026259.541000005</v>
      </c>
      <c r="I182">
        <f>COUNTIFS(A:A, A182,G:G, "&gt;="&amp;G182)</f>
        <v>15</v>
      </c>
      <c r="J182">
        <f>SUMIFS(G:G,A:A,A182,I:I, "&lt;="&amp;I182)</f>
        <v>17859547.392999999</v>
      </c>
      <c r="K182" s="14">
        <f>J182/H182</f>
        <v>0.77561652430781114</v>
      </c>
      <c r="L182" s="14" t="str">
        <f>IF(K182&lt;=0.7,"А",IF(K182&lt;=0.9,"B","C"))</f>
        <v>B</v>
      </c>
    </row>
    <row r="183" spans="1:12" x14ac:dyDescent="0.2">
      <c r="A183" s="2" t="s">
        <v>172</v>
      </c>
      <c r="B183" t="s">
        <v>205</v>
      </c>
      <c r="C183" s="1">
        <v>2</v>
      </c>
      <c r="D183" s="4">
        <v>624982.14</v>
      </c>
      <c r="E183" s="4">
        <v>514542.86</v>
      </c>
      <c r="F183" s="4">
        <f>D183-E183</f>
        <v>110439.28000000003</v>
      </c>
      <c r="G183">
        <f>F183*0.7+D183*0.3</f>
        <v>264802.13800000004</v>
      </c>
      <c r="H183">
        <f>SUMIF(A:A,A183,G:G)</f>
        <v>23026259.541000005</v>
      </c>
      <c r="I183">
        <f>COUNTIFS(A:A, A183,G:G, "&gt;="&amp;G183)</f>
        <v>16</v>
      </c>
      <c r="J183">
        <f>SUMIFS(G:G,A:A,A183,I:I, "&lt;="&amp;I183)</f>
        <v>18124349.530999999</v>
      </c>
      <c r="K183" s="14">
        <f>J183/H183</f>
        <v>0.78711653096449374</v>
      </c>
      <c r="L183" s="14" t="str">
        <f>IF(K183&lt;=0.7,"А",IF(K183&lt;=0.9,"B","C"))</f>
        <v>B</v>
      </c>
    </row>
    <row r="184" spans="1:12" x14ac:dyDescent="0.2">
      <c r="A184" s="2" t="s">
        <v>172</v>
      </c>
      <c r="B184" t="s">
        <v>182</v>
      </c>
      <c r="C184" s="1">
        <v>5</v>
      </c>
      <c r="D184" s="4">
        <v>473169.65</v>
      </c>
      <c r="E184" s="4">
        <v>340149.7</v>
      </c>
      <c r="F184" s="4">
        <f>D184-E184</f>
        <v>133019.95000000001</v>
      </c>
      <c r="G184">
        <f>F184*0.7+D184*0.3</f>
        <v>235064.86</v>
      </c>
      <c r="H184">
        <f>SUMIF(A:A,A184,G:G)</f>
        <v>23026259.541000005</v>
      </c>
      <c r="I184">
        <f>COUNTIFS(A:A, A184,G:G, "&gt;="&amp;G184)</f>
        <v>17</v>
      </c>
      <c r="J184">
        <f>SUMIFS(G:G,A:A,A184,I:I, "&lt;="&amp;I184)</f>
        <v>18359414.390999999</v>
      </c>
      <c r="K184" s="14">
        <f>J184/H184</f>
        <v>0.79732508696471815</v>
      </c>
      <c r="L184" s="14" t="str">
        <f>IF(K184&lt;=0.7,"А",IF(K184&lt;=0.9,"B","C"))</f>
        <v>B</v>
      </c>
    </row>
    <row r="185" spans="1:12" x14ac:dyDescent="0.2">
      <c r="A185" s="2" t="s">
        <v>172</v>
      </c>
      <c r="B185" t="s">
        <v>190</v>
      </c>
      <c r="C185" s="1">
        <v>3</v>
      </c>
      <c r="D185" s="4">
        <v>540151.79</v>
      </c>
      <c r="E185" s="4">
        <v>454443.93</v>
      </c>
      <c r="F185" s="4">
        <f>D185-E185</f>
        <v>85707.860000000044</v>
      </c>
      <c r="G185">
        <f>F185*0.7+D185*0.3</f>
        <v>222041.03900000005</v>
      </c>
      <c r="H185">
        <f>SUMIF(A:A,A185,G:G)</f>
        <v>23026259.541000005</v>
      </c>
      <c r="I185">
        <f>COUNTIFS(A:A, A185,G:G, "&gt;="&amp;G185)</f>
        <v>18</v>
      </c>
      <c r="J185">
        <f>SUMIFS(G:G,A:A,A185,I:I, "&lt;="&amp;I185)</f>
        <v>18581455.43</v>
      </c>
      <c r="K185" s="14">
        <f>J185/H185</f>
        <v>0.80696803564271069</v>
      </c>
      <c r="L185" s="14" t="str">
        <f>IF(K185&lt;=0.7,"А",IF(K185&lt;=0.9,"B","C"))</f>
        <v>B</v>
      </c>
    </row>
    <row r="186" spans="1:12" x14ac:dyDescent="0.2">
      <c r="A186" s="2" t="s">
        <v>172</v>
      </c>
      <c r="B186" t="s">
        <v>210</v>
      </c>
      <c r="C186" s="1">
        <v>2</v>
      </c>
      <c r="D186" s="4">
        <v>482125</v>
      </c>
      <c r="E186" s="4">
        <v>390480.07</v>
      </c>
      <c r="F186" s="4">
        <f>D186-E186</f>
        <v>91644.93</v>
      </c>
      <c r="G186">
        <f>F186*0.7+D186*0.3</f>
        <v>208788.951</v>
      </c>
      <c r="H186">
        <f>SUMIF(A:A,A186,G:G)</f>
        <v>23026259.541000005</v>
      </c>
      <c r="I186">
        <f>COUNTIFS(A:A, A186,G:G, "&gt;="&amp;G186)</f>
        <v>19</v>
      </c>
      <c r="J186">
        <f>SUMIFS(G:G,A:A,A186,I:I, "&lt;="&amp;I186)</f>
        <v>18790244.381000001</v>
      </c>
      <c r="K186" s="14">
        <f>J186/H186</f>
        <v>0.81603546366454105</v>
      </c>
      <c r="L186" s="14" t="str">
        <f>IF(K186&lt;=0.7,"А",IF(K186&lt;=0.9,"B","C"))</f>
        <v>B</v>
      </c>
    </row>
    <row r="187" spans="1:12" x14ac:dyDescent="0.2">
      <c r="A187" s="2" t="s">
        <v>172</v>
      </c>
      <c r="B187" t="s">
        <v>187</v>
      </c>
      <c r="C187" s="1">
        <v>2</v>
      </c>
      <c r="D187" s="4">
        <v>392839.28</v>
      </c>
      <c r="E187" s="4">
        <v>287150.82</v>
      </c>
      <c r="F187" s="4">
        <f>D187-E187</f>
        <v>105688.46000000002</v>
      </c>
      <c r="G187">
        <f>F187*0.7+D187*0.3</f>
        <v>191833.70600000001</v>
      </c>
      <c r="H187">
        <f>SUMIF(A:A,A187,G:G)</f>
        <v>23026259.541000005</v>
      </c>
      <c r="I187">
        <f>COUNTIFS(A:A, A187,G:G, "&gt;="&amp;G187)</f>
        <v>20</v>
      </c>
      <c r="J187">
        <f>SUMIFS(G:G,A:A,A187,I:I, "&lt;="&amp;I187)</f>
        <v>18982078.087000001</v>
      </c>
      <c r="K187" s="14">
        <f>J187/H187</f>
        <v>0.82436654781906582</v>
      </c>
      <c r="L187" s="14" t="str">
        <f>IF(K187&lt;=0.7,"А",IF(K187&lt;=0.9,"B","C"))</f>
        <v>B</v>
      </c>
    </row>
    <row r="188" spans="1:12" x14ac:dyDescent="0.2">
      <c r="A188" s="2" t="s">
        <v>172</v>
      </c>
      <c r="B188" t="s">
        <v>207</v>
      </c>
      <c r="C188" s="1">
        <v>1</v>
      </c>
      <c r="D188" s="4">
        <v>385392.86</v>
      </c>
      <c r="E188" s="4">
        <v>285356.48</v>
      </c>
      <c r="F188" s="4">
        <f>D188-E188</f>
        <v>100036.38</v>
      </c>
      <c r="G188">
        <f>F188*0.7+D188*0.3</f>
        <v>185643.32399999999</v>
      </c>
      <c r="H188">
        <f>SUMIF(A:A,A188,G:G)</f>
        <v>23026259.541000005</v>
      </c>
      <c r="I188">
        <f>COUNTIFS(A:A, A188,G:G, "&gt;="&amp;G188)</f>
        <v>21</v>
      </c>
      <c r="J188">
        <f>SUMIFS(G:G,A:A,A188,I:I, "&lt;="&amp;I188)</f>
        <v>19167721.411000002</v>
      </c>
      <c r="K188" s="14">
        <f>J188/H188</f>
        <v>0.8324287918700134</v>
      </c>
      <c r="L188" s="14" t="str">
        <f>IF(K188&lt;=0.7,"А",IF(K188&lt;=0.9,"B","C"))</f>
        <v>B</v>
      </c>
    </row>
    <row r="189" spans="1:12" x14ac:dyDescent="0.2">
      <c r="A189" s="2" t="s">
        <v>172</v>
      </c>
      <c r="B189" t="s">
        <v>202</v>
      </c>
      <c r="C189" s="1">
        <v>1</v>
      </c>
      <c r="D189" s="4">
        <v>357133.93</v>
      </c>
      <c r="E189" s="4">
        <v>263615.34000000003</v>
      </c>
      <c r="F189" s="4">
        <f>D189-E189</f>
        <v>93518.589999999967</v>
      </c>
      <c r="G189">
        <f>F189*0.7+D189*0.3</f>
        <v>172603.19199999995</v>
      </c>
      <c r="H189">
        <f>SUMIF(A:A,A189,G:G)</f>
        <v>23026259.541000005</v>
      </c>
      <c r="I189">
        <f>COUNTIFS(A:A, A189,G:G, "&gt;="&amp;G189)</f>
        <v>22</v>
      </c>
      <c r="J189">
        <f>SUMIFS(G:G,A:A,A189,I:I, "&lt;="&amp;I189)</f>
        <v>19340324.603000004</v>
      </c>
      <c r="K189" s="14">
        <f>J189/H189</f>
        <v>0.83992472023357012</v>
      </c>
      <c r="L189" s="14" t="str">
        <f>IF(K189&lt;=0.7,"А",IF(K189&lt;=0.9,"B","C"))</f>
        <v>B</v>
      </c>
    </row>
    <row r="190" spans="1:12" x14ac:dyDescent="0.2">
      <c r="A190" s="2" t="s">
        <v>172</v>
      </c>
      <c r="B190" t="s">
        <v>216</v>
      </c>
      <c r="C190" s="1">
        <v>1</v>
      </c>
      <c r="D190" s="4">
        <v>290169.64</v>
      </c>
      <c r="E190" s="4">
        <v>173802.91</v>
      </c>
      <c r="F190" s="4">
        <f>D190-E190</f>
        <v>116366.73000000001</v>
      </c>
      <c r="G190">
        <f>F190*0.7+D190*0.3</f>
        <v>168507.603</v>
      </c>
      <c r="H190">
        <f>SUMIF(A:A,A190,G:G)</f>
        <v>23026259.541000005</v>
      </c>
      <c r="I190">
        <f>COUNTIFS(A:A, A190,G:G, "&gt;="&amp;G190)</f>
        <v>23</v>
      </c>
      <c r="J190">
        <f>SUMIFS(G:G,A:A,A190,I:I, "&lt;="&amp;I190)</f>
        <v>19508832.206000004</v>
      </c>
      <c r="K190" s="14">
        <f>J190/H190</f>
        <v>0.84724278258320873</v>
      </c>
      <c r="L190" s="14" t="str">
        <f>IF(K190&lt;=0.7,"А",IF(K190&lt;=0.9,"B","C"))</f>
        <v>B</v>
      </c>
    </row>
    <row r="191" spans="1:12" x14ac:dyDescent="0.2">
      <c r="A191" s="2" t="s">
        <v>172</v>
      </c>
      <c r="B191" t="s">
        <v>175</v>
      </c>
      <c r="C191" s="1">
        <v>2</v>
      </c>
      <c r="D191" s="4">
        <v>401767.86</v>
      </c>
      <c r="E191" s="4">
        <v>334067.07</v>
      </c>
      <c r="F191" s="4">
        <f>D191-E191</f>
        <v>67700.789999999979</v>
      </c>
      <c r="G191">
        <f>F191*0.7+D191*0.3</f>
        <v>167920.91099999996</v>
      </c>
      <c r="H191">
        <f>SUMIF(A:A,A191,G:G)</f>
        <v>23026259.541000005</v>
      </c>
      <c r="I191">
        <f>COUNTIFS(A:A, A191,G:G, "&gt;="&amp;G191)</f>
        <v>24</v>
      </c>
      <c r="J191">
        <f>SUMIFS(G:G,A:A,A191,I:I, "&lt;="&amp;I191)</f>
        <v>19676753.117000002</v>
      </c>
      <c r="K191" s="14">
        <f>J191/H191</f>
        <v>0.85453536567517829</v>
      </c>
      <c r="L191" s="14" t="str">
        <f>IF(K191&lt;=0.7,"А",IF(K191&lt;=0.9,"B","C"))</f>
        <v>B</v>
      </c>
    </row>
    <row r="192" spans="1:12" x14ac:dyDescent="0.2">
      <c r="A192" s="2" t="s">
        <v>172</v>
      </c>
      <c r="B192" t="s">
        <v>218</v>
      </c>
      <c r="C192" s="1">
        <v>1</v>
      </c>
      <c r="D192" s="4">
        <v>357133.93</v>
      </c>
      <c r="E192" s="4">
        <v>276608.46999999997</v>
      </c>
      <c r="F192" s="4">
        <f>D192-E192</f>
        <v>80525.460000000021</v>
      </c>
      <c r="G192">
        <f>F192*0.7+D192*0.3</f>
        <v>163508.00099999999</v>
      </c>
      <c r="H192">
        <f>SUMIF(A:A,A192,G:G)</f>
        <v>23026259.541000005</v>
      </c>
      <c r="I192">
        <f>COUNTIFS(A:A, A192,G:G, "&gt;="&amp;G192)</f>
        <v>25</v>
      </c>
      <c r="J192">
        <f>SUMIFS(G:G,A:A,A192,I:I, "&lt;="&amp;I192)</f>
        <v>19840261.118000001</v>
      </c>
      <c r="K192" s="14">
        <f>J192/H192</f>
        <v>0.86163630192185181</v>
      </c>
      <c r="L192" s="14" t="str">
        <f>IF(K192&lt;=0.7,"А",IF(K192&lt;=0.9,"B","C"))</f>
        <v>B</v>
      </c>
    </row>
    <row r="193" spans="1:12" x14ac:dyDescent="0.2">
      <c r="A193" s="2" t="s">
        <v>172</v>
      </c>
      <c r="B193" t="s">
        <v>185</v>
      </c>
      <c r="C193" s="1">
        <v>2</v>
      </c>
      <c r="D193" s="4">
        <v>410696.43</v>
      </c>
      <c r="E193" s="4">
        <v>367126.99</v>
      </c>
      <c r="F193" s="4">
        <f>D193-E193</f>
        <v>43569.440000000002</v>
      </c>
      <c r="G193">
        <f>F193*0.7+D193*0.3</f>
        <v>153707.53699999998</v>
      </c>
      <c r="H193">
        <f>SUMIF(A:A,A193,G:G)</f>
        <v>23026259.541000005</v>
      </c>
      <c r="I193">
        <f>COUNTIFS(A:A, A193,G:G, "&gt;="&amp;G193)</f>
        <v>26</v>
      </c>
      <c r="J193">
        <f>SUMIFS(G:G,A:A,A193,I:I, "&lt;="&amp;I193)</f>
        <v>19993968.655000001</v>
      </c>
      <c r="K193" s="14">
        <f>J193/H193</f>
        <v>0.86831161697796466</v>
      </c>
      <c r="L193" s="14" t="str">
        <f>IF(K193&lt;=0.7,"А",IF(K193&lt;=0.9,"B","C"))</f>
        <v>B</v>
      </c>
    </row>
    <row r="194" spans="1:12" x14ac:dyDescent="0.2">
      <c r="A194" s="2" t="s">
        <v>172</v>
      </c>
      <c r="B194" t="s">
        <v>212</v>
      </c>
      <c r="C194" s="1">
        <v>1</v>
      </c>
      <c r="D194" s="4">
        <v>321419.64</v>
      </c>
      <c r="E194" s="4">
        <v>246216.65</v>
      </c>
      <c r="F194" s="4">
        <f>D194-E194</f>
        <v>75202.99000000002</v>
      </c>
      <c r="G194">
        <f>F194*0.7+D194*0.3</f>
        <v>149067.98500000002</v>
      </c>
      <c r="H194">
        <f>SUMIF(A:A,A194,G:G)</f>
        <v>23026259.541000005</v>
      </c>
      <c r="I194">
        <f>COUNTIFS(A:A, A194,G:G, "&gt;="&amp;G194)</f>
        <v>27</v>
      </c>
      <c r="J194">
        <f>SUMIFS(G:G,A:A,A194,I:I, "&lt;="&amp;I194)</f>
        <v>20143036.640000001</v>
      </c>
      <c r="K194" s="14">
        <f>J194/H194</f>
        <v>0.87478544242645195</v>
      </c>
      <c r="L194" s="14" t="str">
        <f>IF(K194&lt;=0.7,"А",IF(K194&lt;=0.9,"B","C"))</f>
        <v>B</v>
      </c>
    </row>
    <row r="195" spans="1:12" x14ac:dyDescent="0.2">
      <c r="A195" s="2" t="s">
        <v>172</v>
      </c>
      <c r="B195" t="s">
        <v>226</v>
      </c>
      <c r="C195" s="1">
        <v>3</v>
      </c>
      <c r="D195" s="4">
        <v>428544.63</v>
      </c>
      <c r="E195" s="4">
        <v>402051.81</v>
      </c>
      <c r="F195" s="4">
        <f>D195-E195</f>
        <v>26492.820000000007</v>
      </c>
      <c r="G195">
        <f>F195*0.7+D195*0.3</f>
        <v>147108.36300000001</v>
      </c>
      <c r="H195">
        <f>SUMIF(A:A,A195,G:G)</f>
        <v>23026259.541000005</v>
      </c>
      <c r="I195">
        <f>COUNTIFS(A:A, A195,G:G, "&gt;="&amp;G195)</f>
        <v>28</v>
      </c>
      <c r="J195">
        <f>SUMIFS(G:G,A:A,A195,I:I, "&lt;="&amp;I195)</f>
        <v>20290145.003000002</v>
      </c>
      <c r="K195" s="14">
        <f>J195/H195</f>
        <v>0.88117416408304861</v>
      </c>
      <c r="L195" s="14" t="str">
        <f>IF(K195&lt;=0.7,"А",IF(K195&lt;=0.9,"B","C"))</f>
        <v>B</v>
      </c>
    </row>
    <row r="196" spans="1:12" x14ac:dyDescent="0.2">
      <c r="A196" s="2" t="s">
        <v>172</v>
      </c>
      <c r="B196" t="s">
        <v>184</v>
      </c>
      <c r="C196" s="1">
        <v>2</v>
      </c>
      <c r="D196" s="4">
        <v>339267.86</v>
      </c>
      <c r="E196" s="4">
        <v>275018.62</v>
      </c>
      <c r="F196" s="4">
        <f>D196-E196</f>
        <v>64249.239999999991</v>
      </c>
      <c r="G196">
        <f>F196*0.7+D196*0.3</f>
        <v>146754.826</v>
      </c>
      <c r="H196">
        <f>SUMIF(A:A,A196,G:G)</f>
        <v>23026259.541000005</v>
      </c>
      <c r="I196">
        <f>COUNTIFS(A:A, A196,G:G, "&gt;="&amp;G196)</f>
        <v>29</v>
      </c>
      <c r="J196">
        <f>SUMIFS(G:G,A:A,A196,I:I, "&lt;="&amp;I196)</f>
        <v>20436899.829000004</v>
      </c>
      <c r="K196" s="14">
        <f>J196/H196</f>
        <v>0.88754753209528237</v>
      </c>
      <c r="L196" s="14" t="str">
        <f>IF(K196&lt;=0.7,"А",IF(K196&lt;=0.9,"B","C"))</f>
        <v>B</v>
      </c>
    </row>
    <row r="197" spans="1:12" x14ac:dyDescent="0.2">
      <c r="A197" s="2" t="s">
        <v>172</v>
      </c>
      <c r="B197" t="s">
        <v>213</v>
      </c>
      <c r="C197" s="1">
        <v>1</v>
      </c>
      <c r="D197" s="4">
        <v>312491.07</v>
      </c>
      <c r="E197" s="4">
        <v>236916.42</v>
      </c>
      <c r="F197" s="4">
        <f>D197-E197</f>
        <v>75574.649999999994</v>
      </c>
      <c r="G197">
        <f>F197*0.7+D197*0.3</f>
        <v>146649.576</v>
      </c>
      <c r="H197">
        <f>SUMIF(A:A,A197,G:G)</f>
        <v>23026259.541000005</v>
      </c>
      <c r="I197">
        <f>COUNTIFS(A:A, A197,G:G, "&gt;="&amp;G197)</f>
        <v>30</v>
      </c>
      <c r="J197">
        <f>SUMIFS(G:G,A:A,A197,I:I, "&lt;="&amp;I197)</f>
        <v>20583549.405000005</v>
      </c>
      <c r="K197" s="14">
        <f>J197/H197</f>
        <v>0.89391632923920761</v>
      </c>
      <c r="L197" s="14" t="str">
        <f>IF(K197&lt;=0.7,"А",IF(K197&lt;=0.9,"B","C"))</f>
        <v>B</v>
      </c>
    </row>
    <row r="198" spans="1:12" x14ac:dyDescent="0.2">
      <c r="A198" s="2" t="s">
        <v>172</v>
      </c>
      <c r="B198" t="s">
        <v>217</v>
      </c>
      <c r="C198" s="1">
        <v>1</v>
      </c>
      <c r="D198" s="4">
        <v>266663.39</v>
      </c>
      <c r="E198" s="4">
        <v>178054.29</v>
      </c>
      <c r="F198" s="4">
        <f>D198-E198</f>
        <v>88609.1</v>
      </c>
      <c r="G198">
        <f>F198*0.7+D198*0.3</f>
        <v>142025.38700000002</v>
      </c>
      <c r="H198">
        <f>SUMIF(A:A,A198,G:G)</f>
        <v>23026259.541000005</v>
      </c>
      <c r="I198">
        <f>COUNTIFS(A:A, A198,G:G, "&gt;="&amp;G198)</f>
        <v>31</v>
      </c>
      <c r="J198">
        <f>SUMIFS(G:G,A:A,A198,I:I, "&lt;="&amp;I198)</f>
        <v>20725574.792000003</v>
      </c>
      <c r="K198" s="14">
        <f>J198/H198</f>
        <v>0.90008430397027972</v>
      </c>
      <c r="L198" s="14" t="str">
        <f>IF(K198&lt;=0.7,"А",IF(K198&lt;=0.9,"B","C"))</f>
        <v>C</v>
      </c>
    </row>
    <row r="199" spans="1:12" x14ac:dyDescent="0.2">
      <c r="A199" s="2" t="s">
        <v>172</v>
      </c>
      <c r="B199" t="s">
        <v>215</v>
      </c>
      <c r="C199" s="1">
        <v>1</v>
      </c>
      <c r="D199" s="4">
        <v>258696.43</v>
      </c>
      <c r="E199" s="4">
        <v>169953.62</v>
      </c>
      <c r="F199" s="4">
        <f>D199-E199</f>
        <v>88742.81</v>
      </c>
      <c r="G199">
        <f>F199*0.7+D199*0.3</f>
        <v>139728.89599999998</v>
      </c>
      <c r="H199">
        <f>SUMIF(A:A,A199,G:G)</f>
        <v>23026259.541000005</v>
      </c>
      <c r="I199">
        <f>COUNTIFS(A:A, A199,G:G, "&gt;="&amp;G199)</f>
        <v>32</v>
      </c>
      <c r="J199">
        <f>SUMIFS(G:G,A:A,A199,I:I, "&lt;="&amp;I199)</f>
        <v>20865303.688000005</v>
      </c>
      <c r="K199" s="14">
        <f>J199/H199</f>
        <v>0.90615254513429533</v>
      </c>
      <c r="L199" s="14" t="str">
        <f>IF(K199&lt;=0.7,"А",IF(K199&lt;=0.9,"B","C"))</f>
        <v>C</v>
      </c>
    </row>
    <row r="200" spans="1:12" x14ac:dyDescent="0.2">
      <c r="A200" s="2" t="s">
        <v>172</v>
      </c>
      <c r="B200" t="s">
        <v>206</v>
      </c>
      <c r="C200" s="1">
        <v>1</v>
      </c>
      <c r="D200" s="4">
        <v>312491.07</v>
      </c>
      <c r="E200" s="4">
        <v>257244.65</v>
      </c>
      <c r="F200" s="4">
        <f>D200-E200</f>
        <v>55246.420000000013</v>
      </c>
      <c r="G200">
        <f>F200*0.7+D200*0.3</f>
        <v>132419.815</v>
      </c>
      <c r="H200">
        <f>SUMIF(A:A,A200,G:G)</f>
        <v>23026259.541000005</v>
      </c>
      <c r="I200">
        <f>COUNTIFS(A:A, A200,G:G, "&gt;="&amp;G200)</f>
        <v>33</v>
      </c>
      <c r="J200">
        <f>SUMIFS(G:G,A:A,A200,I:I, "&lt;="&amp;I200)</f>
        <v>20997723.503000006</v>
      </c>
      <c r="K200" s="14">
        <f>J200/H200</f>
        <v>0.9119033625766253</v>
      </c>
      <c r="L200" s="14" t="str">
        <f>IF(K200&lt;=0.7,"А",IF(K200&lt;=0.9,"B","C"))</f>
        <v>C</v>
      </c>
    </row>
    <row r="201" spans="1:12" x14ac:dyDescent="0.2">
      <c r="A201" s="2" t="s">
        <v>172</v>
      </c>
      <c r="B201" t="s">
        <v>203</v>
      </c>
      <c r="C201" s="1">
        <v>1</v>
      </c>
      <c r="D201" s="4">
        <v>290125</v>
      </c>
      <c r="E201" s="4">
        <v>231750.89</v>
      </c>
      <c r="F201" s="4">
        <f>D201-E201</f>
        <v>58374.109999999986</v>
      </c>
      <c r="G201">
        <f>F201*0.7+D201*0.3</f>
        <v>127899.37699999998</v>
      </c>
      <c r="H201">
        <f>SUMIF(A:A,A201,G:G)</f>
        <v>23026259.541000005</v>
      </c>
      <c r="I201">
        <f>COUNTIFS(A:A, A201,G:G, "&gt;="&amp;G201)</f>
        <v>34</v>
      </c>
      <c r="J201">
        <f>SUMIFS(G:G,A:A,A201,I:I, "&lt;="&amp;I201)</f>
        <v>21125622.880000006</v>
      </c>
      <c r="K201" s="14">
        <f>J201/H201</f>
        <v>0.91745786337482338</v>
      </c>
      <c r="L201" s="14" t="str">
        <f>IF(K201&lt;=0.7,"А",IF(K201&lt;=0.9,"B","C"))</f>
        <v>C</v>
      </c>
    </row>
    <row r="202" spans="1:12" x14ac:dyDescent="0.2">
      <c r="A202" s="2" t="s">
        <v>172</v>
      </c>
      <c r="B202" t="s">
        <v>214</v>
      </c>
      <c r="C202" s="1">
        <v>1</v>
      </c>
      <c r="D202" s="4">
        <v>276776.78999999998</v>
      </c>
      <c r="E202" s="4">
        <v>221837.77</v>
      </c>
      <c r="F202" s="4">
        <f>D202-E202</f>
        <v>54939.01999999999</v>
      </c>
      <c r="G202">
        <f>F202*0.7+D202*0.3</f>
        <v>121490.351</v>
      </c>
      <c r="H202">
        <f>SUMIF(A:A,A202,G:G)</f>
        <v>23026259.541000005</v>
      </c>
      <c r="I202">
        <f>COUNTIFS(A:A, A202,G:G, "&gt;="&amp;G202)</f>
        <v>35</v>
      </c>
      <c r="J202">
        <f>SUMIFS(G:G,A:A,A202,I:I, "&lt;="&amp;I202)</f>
        <v>21247113.231000006</v>
      </c>
      <c r="K202" s="14">
        <f>J202/H202</f>
        <v>0.92273402864967735</v>
      </c>
      <c r="L202" s="14" t="str">
        <f>IF(K202&lt;=0.7,"А",IF(K202&lt;=0.9,"B","C"))</f>
        <v>C</v>
      </c>
    </row>
    <row r="203" spans="1:12" x14ac:dyDescent="0.2">
      <c r="A203" s="2" t="s">
        <v>172</v>
      </c>
      <c r="B203" t="s">
        <v>174</v>
      </c>
      <c r="C203" s="1">
        <v>1</v>
      </c>
      <c r="D203" s="4">
        <v>271419.64</v>
      </c>
      <c r="E203" s="4">
        <v>215816.38</v>
      </c>
      <c r="F203" s="4">
        <f>D203-E203</f>
        <v>55603.260000000009</v>
      </c>
      <c r="G203">
        <f>F203*0.7+D203*0.3</f>
        <v>120348.17400000001</v>
      </c>
      <c r="H203">
        <f>SUMIF(A:A,A203,G:G)</f>
        <v>23026259.541000005</v>
      </c>
      <c r="I203">
        <f>COUNTIFS(A:A, A203,G:G, "&gt;="&amp;G203)</f>
        <v>36</v>
      </c>
      <c r="J203">
        <f>SUMIFS(G:G,A:A,A203,I:I, "&lt;="&amp;I203)</f>
        <v>21367461.405000005</v>
      </c>
      <c r="K203" s="14">
        <f>J203/H203</f>
        <v>0.92796059068793246</v>
      </c>
      <c r="L203" s="14" t="str">
        <f>IF(K203&lt;=0.7,"А",IF(K203&lt;=0.9,"B","C"))</f>
        <v>C</v>
      </c>
    </row>
    <row r="204" spans="1:12" x14ac:dyDescent="0.2">
      <c r="A204" s="2" t="s">
        <v>172</v>
      </c>
      <c r="B204" t="s">
        <v>225</v>
      </c>
      <c r="C204" s="1">
        <v>2</v>
      </c>
      <c r="D204" s="4">
        <v>374982.14</v>
      </c>
      <c r="E204" s="4">
        <v>371997.8</v>
      </c>
      <c r="F204" s="4">
        <f>D204-E204</f>
        <v>2984.3400000000256</v>
      </c>
      <c r="G204">
        <f>F204*0.7+D204*0.3</f>
        <v>114583.68000000002</v>
      </c>
      <c r="H204">
        <f>SUMIF(A:A,A204,G:G)</f>
        <v>23026259.541000005</v>
      </c>
      <c r="I204">
        <f>COUNTIFS(A:A, A204,G:G, "&gt;="&amp;G204)</f>
        <v>37</v>
      </c>
      <c r="J204">
        <f>SUMIFS(G:G,A:A,A204,I:I, "&lt;="&amp;I204)</f>
        <v>21482045.085000005</v>
      </c>
      <c r="K204" s="14">
        <f>J204/H204</f>
        <v>0.93293680837522008</v>
      </c>
      <c r="L204" s="14" t="str">
        <f>IF(K204&lt;=0.7,"А",IF(K204&lt;=0.9,"B","C"))</f>
        <v>C</v>
      </c>
    </row>
    <row r="205" spans="1:12" x14ac:dyDescent="0.2">
      <c r="A205" s="2" t="s">
        <v>172</v>
      </c>
      <c r="B205" t="s">
        <v>188</v>
      </c>
      <c r="C205" s="1">
        <v>1</v>
      </c>
      <c r="D205" s="4">
        <v>205348.21</v>
      </c>
      <c r="E205" s="4">
        <v>143330.60999999999</v>
      </c>
      <c r="F205" s="4">
        <f>D205-E205</f>
        <v>62017.600000000006</v>
      </c>
      <c r="G205">
        <f>F205*0.7+D205*0.3</f>
        <v>105016.783</v>
      </c>
      <c r="H205">
        <f>SUMIF(A:A,A205,G:G)</f>
        <v>23026259.541000005</v>
      </c>
      <c r="I205">
        <f>COUNTIFS(A:A, A205,G:G, "&gt;="&amp;G205)</f>
        <v>38</v>
      </c>
      <c r="J205">
        <f>SUMIFS(G:G,A:A,A205,I:I, "&lt;="&amp;I205)</f>
        <v>21587061.868000004</v>
      </c>
      <c r="K205" s="14">
        <f>J205/H205</f>
        <v>0.93749754837786836</v>
      </c>
      <c r="L205" s="14" t="str">
        <f>IF(K205&lt;=0.7,"А",IF(K205&lt;=0.9,"B","C"))</f>
        <v>C</v>
      </c>
    </row>
    <row r="206" spans="1:12" x14ac:dyDescent="0.2">
      <c r="A206" s="2" t="s">
        <v>172</v>
      </c>
      <c r="B206" t="s">
        <v>211</v>
      </c>
      <c r="C206" s="1">
        <v>1</v>
      </c>
      <c r="D206" s="4">
        <v>236598.21</v>
      </c>
      <c r="E206" s="4">
        <v>188652.13</v>
      </c>
      <c r="F206" s="4">
        <f>D206-E206</f>
        <v>47946.079999999987</v>
      </c>
      <c r="G206">
        <f>F206*0.7+D206*0.3</f>
        <v>104541.71899999998</v>
      </c>
      <c r="H206">
        <f>SUMIF(A:A,A206,G:G)</f>
        <v>23026259.541000005</v>
      </c>
      <c r="I206">
        <f>COUNTIFS(A:A, A206,G:G, "&gt;="&amp;G206)</f>
        <v>39</v>
      </c>
      <c r="J206">
        <f>SUMIFS(G:G,A:A,A206,I:I, "&lt;="&amp;I206)</f>
        <v>21691603.587000005</v>
      </c>
      <c r="K206" s="14">
        <f>J206/H206</f>
        <v>0.94203765697926123</v>
      </c>
      <c r="L206" s="14" t="str">
        <f>IF(K206&lt;=0.7,"А",IF(K206&lt;=0.9,"B","C"))</f>
        <v>C</v>
      </c>
    </row>
    <row r="207" spans="1:12" x14ac:dyDescent="0.2">
      <c r="A207" s="2" t="s">
        <v>172</v>
      </c>
      <c r="B207" t="s">
        <v>193</v>
      </c>
      <c r="C207" s="1">
        <v>1</v>
      </c>
      <c r="D207" s="4">
        <v>232133.93</v>
      </c>
      <c r="E207" s="4">
        <v>182550.43</v>
      </c>
      <c r="F207" s="4">
        <f>D207-E207</f>
        <v>49583.5</v>
      </c>
      <c r="G207">
        <f>F207*0.7+D207*0.3</f>
        <v>104348.62899999999</v>
      </c>
      <c r="H207">
        <f>SUMIF(A:A,A207,G:G)</f>
        <v>23026259.541000005</v>
      </c>
      <c r="I207">
        <f>COUNTIFS(A:A, A207,G:G, "&gt;="&amp;G207)</f>
        <v>40</v>
      </c>
      <c r="J207">
        <f>SUMIFS(G:G,A:A,A207,I:I, "&lt;="&amp;I207)</f>
        <v>21795952.216000006</v>
      </c>
      <c r="K207" s="14">
        <f>J207/H207</f>
        <v>0.94656937993731272</v>
      </c>
      <c r="L207" s="14" t="str">
        <f>IF(K207&lt;=0.7,"А",IF(K207&lt;=0.9,"B","C"))</f>
        <v>C</v>
      </c>
    </row>
    <row r="208" spans="1:12" x14ac:dyDescent="0.2">
      <c r="A208" s="2" t="s">
        <v>172</v>
      </c>
      <c r="B208" t="s">
        <v>198</v>
      </c>
      <c r="C208" s="1">
        <v>1</v>
      </c>
      <c r="D208" s="4">
        <v>240973.21</v>
      </c>
      <c r="E208" s="4">
        <v>195475.87</v>
      </c>
      <c r="F208" s="4">
        <f>D208-E208</f>
        <v>45497.34</v>
      </c>
      <c r="G208">
        <f>F208*0.7+D208*0.3</f>
        <v>104140.10099999998</v>
      </c>
      <c r="H208">
        <f>SUMIF(A:A,A208,G:G)</f>
        <v>23026259.541000005</v>
      </c>
      <c r="I208">
        <f>COUNTIFS(A:A, A208,G:G, "&gt;="&amp;G208)</f>
        <v>41</v>
      </c>
      <c r="J208">
        <f>SUMIFS(G:G,A:A,A208,I:I, "&lt;="&amp;I208)</f>
        <v>21900092.317000005</v>
      </c>
      <c r="K208" s="14">
        <f>J208/H208</f>
        <v>0.95109204680009907</v>
      </c>
      <c r="L208" s="14" t="str">
        <f>IF(K208&lt;=0.7,"А",IF(K208&lt;=0.9,"B","C"))</f>
        <v>C</v>
      </c>
    </row>
    <row r="209" spans="1:12" x14ac:dyDescent="0.2">
      <c r="A209" s="2" t="s">
        <v>172</v>
      </c>
      <c r="B209" t="s">
        <v>199</v>
      </c>
      <c r="C209" s="1">
        <v>1</v>
      </c>
      <c r="D209" s="4">
        <v>222223.21</v>
      </c>
      <c r="E209" s="4">
        <v>169796.67</v>
      </c>
      <c r="F209" s="4">
        <f>D209-E209</f>
        <v>52426.539999999979</v>
      </c>
      <c r="G209">
        <f>F209*0.7+D209*0.3</f>
        <v>103365.54099999997</v>
      </c>
      <c r="H209">
        <f>SUMIF(A:A,A209,G:G)</f>
        <v>23026259.541000005</v>
      </c>
      <c r="I209">
        <f>COUNTIFS(A:A, A209,G:G, "&gt;="&amp;G209)</f>
        <v>42</v>
      </c>
      <c r="J209">
        <f>SUMIFS(G:G,A:A,A209,I:I, "&lt;="&amp;I209)</f>
        <v>22003457.858000007</v>
      </c>
      <c r="K209" s="14">
        <f>J209/H209</f>
        <v>0.95558107554642902</v>
      </c>
      <c r="L209" s="14" t="str">
        <f>IF(K209&lt;=0.7,"А",IF(K209&lt;=0.9,"B","C"))</f>
        <v>C</v>
      </c>
    </row>
    <row r="210" spans="1:12" x14ac:dyDescent="0.2">
      <c r="A210" s="2" t="s">
        <v>172</v>
      </c>
      <c r="B210" t="s">
        <v>179</v>
      </c>
      <c r="C210" s="1">
        <v>1</v>
      </c>
      <c r="D210" s="4">
        <v>213383.93</v>
      </c>
      <c r="E210" s="4">
        <v>159175.82999999999</v>
      </c>
      <c r="F210" s="4">
        <f>D210-E210</f>
        <v>54208.100000000006</v>
      </c>
      <c r="G210">
        <f>F210*0.7+D210*0.3</f>
        <v>101960.84899999999</v>
      </c>
      <c r="H210">
        <f>SUMIF(A:A,A210,G:G)</f>
        <v>23026259.541000005</v>
      </c>
      <c r="I210">
        <f>COUNTIFS(A:A, A210,G:G, "&gt;="&amp;G210)</f>
        <v>43</v>
      </c>
      <c r="J210">
        <f>SUMIFS(G:G,A:A,A210,I:I, "&lt;="&amp;I210)</f>
        <v>22105418.707000006</v>
      </c>
      <c r="K210" s="14">
        <f>J210/H210</f>
        <v>0.96000910037688181</v>
      </c>
      <c r="L210" s="14" t="str">
        <f>IF(K210&lt;=0.7,"А",IF(K210&lt;=0.9,"B","C"))</f>
        <v>C</v>
      </c>
    </row>
    <row r="211" spans="1:12" x14ac:dyDescent="0.2">
      <c r="A211" s="2" t="s">
        <v>172</v>
      </c>
      <c r="B211" t="s">
        <v>189</v>
      </c>
      <c r="C211" s="1">
        <v>1</v>
      </c>
      <c r="D211" s="4">
        <v>205348.21</v>
      </c>
      <c r="E211" s="4">
        <v>158148.37</v>
      </c>
      <c r="F211" s="4">
        <f>D211-E211</f>
        <v>47199.839999999997</v>
      </c>
      <c r="G211">
        <f>F211*0.7+D211*0.3</f>
        <v>94644.350999999995</v>
      </c>
      <c r="H211">
        <f>SUMIF(A:A,A211,G:G)</f>
        <v>23026259.541000005</v>
      </c>
      <c r="I211">
        <f>COUNTIFS(A:A, A211,G:G, "&gt;="&amp;G211)</f>
        <v>44</v>
      </c>
      <c r="J211">
        <f>SUMIFS(G:G,A:A,A211,I:I, "&lt;="&amp;I211)</f>
        <v>22200063.058000006</v>
      </c>
      <c r="K211" s="14">
        <f>J211/H211</f>
        <v>0.96411937937514802</v>
      </c>
      <c r="L211" s="14" t="str">
        <f>IF(K211&lt;=0.7,"А",IF(K211&lt;=0.9,"B","C"))</f>
        <v>C</v>
      </c>
    </row>
    <row r="212" spans="1:12" x14ac:dyDescent="0.2">
      <c r="A212" s="2" t="s">
        <v>172</v>
      </c>
      <c r="B212" t="s">
        <v>176</v>
      </c>
      <c r="C212" s="1">
        <v>1</v>
      </c>
      <c r="D212" s="4">
        <v>209812.5</v>
      </c>
      <c r="E212" s="4">
        <v>165642.89000000001</v>
      </c>
      <c r="F212" s="4">
        <f>D212-E212</f>
        <v>44169.609999999986</v>
      </c>
      <c r="G212">
        <f>F212*0.7+D212*0.3</f>
        <v>93862.476999999984</v>
      </c>
      <c r="H212">
        <f>SUMIF(A:A,A212,G:G)</f>
        <v>23026259.541000005</v>
      </c>
      <c r="I212">
        <f>COUNTIFS(A:A, A212,G:G, "&gt;="&amp;G212)</f>
        <v>45</v>
      </c>
      <c r="J212">
        <f>SUMIFS(G:G,A:A,A212,I:I, "&lt;="&amp;I212)</f>
        <v>22293925.535000008</v>
      </c>
      <c r="K212" s="14">
        <f>J212/H212</f>
        <v>0.96819570261961041</v>
      </c>
      <c r="L212" s="14" t="str">
        <f>IF(K212&lt;=0.7,"А",IF(K212&lt;=0.9,"B","C"))</f>
        <v>C</v>
      </c>
    </row>
    <row r="213" spans="1:12" x14ac:dyDescent="0.2">
      <c r="A213" s="2" t="s">
        <v>172</v>
      </c>
      <c r="B213" t="s">
        <v>200</v>
      </c>
      <c r="C213" s="1">
        <v>1</v>
      </c>
      <c r="D213" s="4">
        <v>190169.64</v>
      </c>
      <c r="E213" s="4">
        <v>140085.70000000001</v>
      </c>
      <c r="F213" s="4">
        <f>D213-E213</f>
        <v>50083.94</v>
      </c>
      <c r="G213">
        <f>F213*0.7+D213*0.3</f>
        <v>92109.65</v>
      </c>
      <c r="H213">
        <f>SUMIF(A:A,A213,G:G)</f>
        <v>23026259.541000005</v>
      </c>
      <c r="I213">
        <f>COUNTIFS(A:A, A213,G:G, "&gt;="&amp;G213)</f>
        <v>46</v>
      </c>
      <c r="J213">
        <f>SUMIFS(G:G,A:A,A213,I:I, "&lt;="&amp;I213)</f>
        <v>22386035.185000006</v>
      </c>
      <c r="K213" s="14">
        <f>J213/H213</f>
        <v>0.97219590290554869</v>
      </c>
      <c r="L213" s="14" t="str">
        <f>IF(K213&lt;=0.7,"А",IF(K213&lt;=0.9,"B","C"))</f>
        <v>C</v>
      </c>
    </row>
    <row r="214" spans="1:12" x14ac:dyDescent="0.2">
      <c r="A214" s="2" t="s">
        <v>172</v>
      </c>
      <c r="B214" t="s">
        <v>222</v>
      </c>
      <c r="C214" s="1">
        <v>2</v>
      </c>
      <c r="D214" s="4">
        <v>267839.28000000003</v>
      </c>
      <c r="E214" s="4">
        <v>258688.88</v>
      </c>
      <c r="F214" s="4">
        <f>D214-E214</f>
        <v>9150.4000000000233</v>
      </c>
      <c r="G214">
        <f>F214*0.7+D214*0.3</f>
        <v>86757.064000000013</v>
      </c>
      <c r="H214">
        <f>SUMIF(A:A,A214,G:G)</f>
        <v>23026259.541000005</v>
      </c>
      <c r="I214">
        <f>COUNTIFS(A:A, A214,G:G, "&gt;="&amp;G214)</f>
        <v>47</v>
      </c>
      <c r="J214">
        <f>SUMIFS(G:G,A:A,A214,I:I, "&lt;="&amp;I214)</f>
        <v>22472792.249000005</v>
      </c>
      <c r="K214" s="14">
        <f>J214/H214</f>
        <v>0.9759636474602178</v>
      </c>
      <c r="L214" s="14" t="str">
        <f>IF(K214&lt;=0.7,"А",IF(K214&lt;=0.9,"B","C"))</f>
        <v>C</v>
      </c>
    </row>
    <row r="215" spans="1:12" x14ac:dyDescent="0.2">
      <c r="A215" s="2" t="s">
        <v>172</v>
      </c>
      <c r="B215" t="s">
        <v>177</v>
      </c>
      <c r="C215" s="1">
        <v>1</v>
      </c>
      <c r="D215" s="4">
        <v>200883.93</v>
      </c>
      <c r="E215" s="4">
        <v>167552.71</v>
      </c>
      <c r="F215" s="4">
        <f>D215-E215</f>
        <v>33331.22</v>
      </c>
      <c r="G215">
        <f>F215*0.7+D215*0.3</f>
        <v>83597.032999999996</v>
      </c>
      <c r="H215">
        <f>SUMIF(A:A,A215,G:G)</f>
        <v>23026259.541000005</v>
      </c>
      <c r="I215">
        <f>COUNTIFS(A:A, A215,G:G, "&gt;="&amp;G215)</f>
        <v>48</v>
      </c>
      <c r="J215">
        <f>SUMIFS(G:G,A:A,A215,I:I, "&lt;="&amp;I215)</f>
        <v>22556389.282000005</v>
      </c>
      <c r="K215" s="14">
        <f>J215/H215</f>
        <v>0.9795941560476481</v>
      </c>
      <c r="L215" s="14" t="str">
        <f>IF(K215&lt;=0.7,"А",IF(K215&lt;=0.9,"B","C"))</f>
        <v>C</v>
      </c>
    </row>
    <row r="216" spans="1:12" x14ac:dyDescent="0.2">
      <c r="A216" s="2" t="s">
        <v>172</v>
      </c>
      <c r="B216" t="s">
        <v>223</v>
      </c>
      <c r="C216" s="1">
        <v>1</v>
      </c>
      <c r="D216" s="4">
        <v>214276.79</v>
      </c>
      <c r="E216" s="4">
        <v>198014.56</v>
      </c>
      <c r="F216" s="4">
        <f>D216-E216</f>
        <v>16262.23000000001</v>
      </c>
      <c r="G216">
        <f>F216*0.7+D216*0.3</f>
        <v>75666.597999999998</v>
      </c>
      <c r="H216">
        <f>SUMIF(A:A,A216,G:G)</f>
        <v>23026259.541000005</v>
      </c>
      <c r="I216">
        <f>COUNTIFS(A:A, A216,G:G, "&gt;="&amp;G216)</f>
        <v>49</v>
      </c>
      <c r="J216">
        <f>SUMIFS(G:G,A:A,A216,I:I, "&lt;="&amp;I216)</f>
        <v>22632055.880000006</v>
      </c>
      <c r="K216" s="14">
        <f>J216/H216</f>
        <v>0.98288025633090392</v>
      </c>
      <c r="L216" s="14" t="str">
        <f>IF(K216&lt;=0.7,"А",IF(K216&lt;=0.9,"B","C"))</f>
        <v>C</v>
      </c>
    </row>
    <row r="217" spans="1:12" x14ac:dyDescent="0.2">
      <c r="A217" s="2" t="s">
        <v>172</v>
      </c>
      <c r="B217" t="s">
        <v>173</v>
      </c>
      <c r="C217" s="1">
        <v>1</v>
      </c>
      <c r="D217" s="4">
        <v>140169.64000000001</v>
      </c>
      <c r="E217" s="4">
        <v>100937.36</v>
      </c>
      <c r="F217" s="4">
        <f>D217-E217</f>
        <v>39232.280000000013</v>
      </c>
      <c r="G217">
        <f>F217*0.7+D217*0.3</f>
        <v>69513.488000000012</v>
      </c>
      <c r="H217">
        <f>SUMIF(A:A,A217,G:G)</f>
        <v>23026259.541000005</v>
      </c>
      <c r="I217">
        <f>COUNTIFS(A:A, A217,G:G, "&gt;="&amp;G217)</f>
        <v>50</v>
      </c>
      <c r="J217">
        <f>SUMIFS(G:G,A:A,A217,I:I, "&lt;="&amp;I217)</f>
        <v>22701569.368000008</v>
      </c>
      <c r="K217" s="14">
        <f>J217/H217</f>
        <v>0.98589913518425076</v>
      </c>
      <c r="L217" s="14" t="str">
        <f>IF(K217&lt;=0.7,"А",IF(K217&lt;=0.9,"B","C"))</f>
        <v>C</v>
      </c>
    </row>
    <row r="218" spans="1:12" x14ac:dyDescent="0.2">
      <c r="A218" s="2" t="s">
        <v>172</v>
      </c>
      <c r="B218" t="s">
        <v>224</v>
      </c>
      <c r="C218" s="1">
        <v>1</v>
      </c>
      <c r="D218" s="4">
        <v>214276.79</v>
      </c>
      <c r="E218" s="4">
        <v>207411.06</v>
      </c>
      <c r="F218" s="4">
        <f>D218-E218</f>
        <v>6865.7300000000105</v>
      </c>
      <c r="G218">
        <f>F218*0.7+D218*0.3</f>
        <v>69089.04800000001</v>
      </c>
      <c r="H218">
        <f>SUMIF(A:A,A218,G:G)</f>
        <v>23026259.541000005</v>
      </c>
      <c r="I218">
        <f>COUNTIFS(A:A, A218,G:G, "&gt;="&amp;G218)</f>
        <v>51</v>
      </c>
      <c r="J218">
        <f>SUMIFS(G:G,A:A,A218,I:I, "&lt;="&amp;I218)</f>
        <v>22770658.416000009</v>
      </c>
      <c r="K218" s="14">
        <f>J218/H218</f>
        <v>0.98889958116971277</v>
      </c>
      <c r="L218" s="14" t="str">
        <f>IF(K218&lt;=0.7,"А",IF(K218&lt;=0.9,"B","C"))</f>
        <v>C</v>
      </c>
    </row>
    <row r="219" spans="1:12" x14ac:dyDescent="0.2">
      <c r="A219" s="2" t="s">
        <v>172</v>
      </c>
      <c r="B219" t="s">
        <v>180</v>
      </c>
      <c r="C219" s="1">
        <v>1</v>
      </c>
      <c r="D219" s="4">
        <v>149991.07</v>
      </c>
      <c r="E219" s="4">
        <v>116413.07</v>
      </c>
      <c r="F219" s="4">
        <f>D219-E219</f>
        <v>33578</v>
      </c>
      <c r="G219">
        <f>F219*0.7+D219*0.3</f>
        <v>68501.921000000002</v>
      </c>
      <c r="H219">
        <f>SUMIF(A:A,A219,G:G)</f>
        <v>23026259.541000005</v>
      </c>
      <c r="I219">
        <f>COUNTIFS(A:A, A219,G:G, "&gt;="&amp;G219)</f>
        <v>52</v>
      </c>
      <c r="J219">
        <f>SUMIFS(G:G,A:A,A219,I:I, "&lt;="&amp;I219)</f>
        <v>22839160.337000009</v>
      </c>
      <c r="K219" s="14">
        <f>J219/H219</f>
        <v>0.99187452900603101</v>
      </c>
      <c r="L219" s="14" t="str">
        <f>IF(K219&lt;=0.7,"А",IF(K219&lt;=0.9,"B","C"))</f>
        <v>C</v>
      </c>
    </row>
    <row r="220" spans="1:12" x14ac:dyDescent="0.2">
      <c r="A220" s="2" t="s">
        <v>172</v>
      </c>
      <c r="B220" t="s">
        <v>178</v>
      </c>
      <c r="C220" s="1">
        <v>1</v>
      </c>
      <c r="D220" s="4">
        <v>160705.35999999999</v>
      </c>
      <c r="E220" s="4">
        <v>132622.28</v>
      </c>
      <c r="F220" s="4">
        <f>D220-E220</f>
        <v>28083.079999999987</v>
      </c>
      <c r="G220">
        <f>F220*0.7+D220*0.3</f>
        <v>67869.763999999981</v>
      </c>
      <c r="H220">
        <f>SUMIF(A:A,A220,G:G)</f>
        <v>23026259.541000005</v>
      </c>
      <c r="I220">
        <f>COUNTIFS(A:A, A220,G:G, "&gt;="&amp;G220)</f>
        <v>53</v>
      </c>
      <c r="J220">
        <f>SUMIFS(G:G,A:A,A220,I:I, "&lt;="&amp;I220)</f>
        <v>22907030.101000007</v>
      </c>
      <c r="K220" s="14">
        <f>J220/H220</f>
        <v>0.9948220230998569</v>
      </c>
      <c r="L220" s="14" t="str">
        <f>IF(K220&lt;=0.7,"А",IF(K220&lt;=0.9,"B","C"))</f>
        <v>C</v>
      </c>
    </row>
    <row r="221" spans="1:12" x14ac:dyDescent="0.2">
      <c r="A221" s="2" t="s">
        <v>172</v>
      </c>
      <c r="B221" t="s">
        <v>221</v>
      </c>
      <c r="C221" s="1">
        <v>1</v>
      </c>
      <c r="D221" s="4">
        <v>178562.5</v>
      </c>
      <c r="E221" s="4">
        <v>169285.71</v>
      </c>
      <c r="F221" s="4">
        <f>D221-E221</f>
        <v>9276.7900000000081</v>
      </c>
      <c r="G221">
        <f>F221*0.7+D221*0.3</f>
        <v>60062.503000000004</v>
      </c>
      <c r="H221">
        <f>SUMIF(A:A,A221,G:G)</f>
        <v>23026259.541000005</v>
      </c>
      <c r="I221">
        <f>COUNTIFS(A:A, A221,G:G, "&gt;="&amp;G221)</f>
        <v>54</v>
      </c>
      <c r="J221">
        <f>SUMIFS(G:G,A:A,A221,I:I, "&lt;="&amp;I221)</f>
        <v>22967092.604000006</v>
      </c>
      <c r="K221" s="14">
        <f>J221/H221</f>
        <v>0.99743045817343245</v>
      </c>
      <c r="L221" s="14" t="str">
        <f>IF(K221&lt;=0.7,"А",IF(K221&lt;=0.9,"B","C"))</f>
        <v>C</v>
      </c>
    </row>
    <row r="222" spans="1:12" x14ac:dyDescent="0.2">
      <c r="A222" s="3" t="s">
        <v>172</v>
      </c>
      <c r="B222" t="s">
        <v>227</v>
      </c>
      <c r="C222" s="1">
        <v>1</v>
      </c>
      <c r="D222" s="4">
        <v>178562.5</v>
      </c>
      <c r="E222" s="4">
        <v>170565.09</v>
      </c>
      <c r="F222" s="4">
        <f>D222-E222</f>
        <v>7997.4100000000035</v>
      </c>
      <c r="G222">
        <f>F222*0.7+D222*0.3</f>
        <v>59166.937000000005</v>
      </c>
      <c r="H222">
        <f>SUMIF(A:A,A222,G:G)</f>
        <v>23026259.541000005</v>
      </c>
      <c r="I222">
        <f>COUNTIFS(A:A, A222,G:G, "&gt;="&amp;G222)</f>
        <v>55</v>
      </c>
      <c r="J222">
        <f>SUMIFS(G:G,A:A,A222,I:I, "&lt;="&amp;I222)</f>
        <v>23026259.541000005</v>
      </c>
      <c r="K222" s="14">
        <f>J222/H222</f>
        <v>1</v>
      </c>
      <c r="L222" s="14" t="str">
        <f>IF(K222&lt;=0.7,"А",IF(K222&lt;=0.9,"B","C"))</f>
        <v>C</v>
      </c>
    </row>
  </sheetData>
  <autoFilter ref="A1:E222" xr:uid="{971C18CB-70B2-49F0-B55D-24758881A015}"/>
  <sortState xmlns:xlrd2="http://schemas.microsoft.com/office/spreadsheetml/2017/richdata2" ref="A2:L222">
    <sortCondition ref="A2:A222"/>
    <sortCondition descending="1" ref="G2:G222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Заяц Денис Владимирович</dc:creator>
  <cp:lastModifiedBy>Қаратаева Айгерім Қайратқызы</cp:lastModifiedBy>
  <dcterms:created xsi:type="dcterms:W3CDTF">2025-06-03T05:32:15Z</dcterms:created>
  <dcterms:modified xsi:type="dcterms:W3CDTF">2025-11-06T06:05:41Z</dcterms:modified>
</cp:coreProperties>
</file>